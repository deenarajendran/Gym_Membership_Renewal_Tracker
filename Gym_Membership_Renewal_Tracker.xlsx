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34a35f06583ed328/Desktop/Project/"/>
    </mc:Choice>
  </mc:AlternateContent>
  <xr:revisionPtr revIDLastSave="0" documentId="8_{62217EE0-9767-484A-8F25-D22CEA785642}" xr6:coauthVersionLast="47" xr6:coauthVersionMax="47" xr10:uidLastSave="{00000000-0000-0000-0000-000000000000}"/>
  <bookViews>
    <workbookView xWindow="-108" yWindow="-108" windowWidth="23256" windowHeight="12456" xr2:uid="{84DD06AB-EF9A-40F1-AC3E-2812FD1E9E42}"/>
  </bookViews>
  <sheets>
    <sheet name="Dashboard" sheetId="3" r:id="rId1"/>
    <sheet name="MEMBER DETAIL" sheetId="1" r:id="rId2"/>
    <sheet name="Pivot Table" sheetId="4" r:id="rId3"/>
  </sheets>
  <definedNames>
    <definedName name="_xlnm._FilterDatabase" localSheetId="1" hidden="1">'MEMBER DETAIL'!$A$2:$M$27</definedName>
    <definedName name="Slicer_MEMBER_ID">#N/A</definedName>
    <definedName name="Slicer_PLAN_TYPE">#N/A</definedName>
    <definedName name="Slicer_STATUS">#N/A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3"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H4" i="1"/>
  <c r="H5" i="1"/>
  <c r="H6" i="1"/>
  <c r="H7" i="1"/>
  <c r="H8" i="1"/>
  <c r="H9" i="1"/>
  <c r="H10" i="1"/>
  <c r="H11" i="1"/>
  <c r="H12" i="1"/>
  <c r="H13" i="1"/>
  <c r="H14" i="1"/>
  <c r="H15" i="1"/>
  <c r="H16" i="1"/>
  <c r="H17" i="1"/>
  <c r="H18" i="1"/>
  <c r="H19" i="1"/>
  <c r="H20" i="1"/>
  <c r="H21" i="1"/>
  <c r="H22" i="1"/>
  <c r="H23" i="1"/>
  <c r="H24" i="1"/>
  <c r="H25" i="1"/>
  <c r="H26" i="1"/>
  <c r="H27" i="1"/>
  <c r="H3" i="1"/>
  <c r="B4" i="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K4" i="1" l="1"/>
  <c r="J4" i="1"/>
  <c r="K5" i="1"/>
  <c r="J5" i="1"/>
  <c r="K6" i="1"/>
  <c r="J6" i="1"/>
  <c r="K7" i="1"/>
  <c r="J7" i="1"/>
  <c r="K8" i="1"/>
  <c r="J8" i="1"/>
  <c r="K9" i="1"/>
  <c r="J9" i="1"/>
  <c r="K10" i="1"/>
  <c r="J10" i="1"/>
  <c r="K11" i="1"/>
  <c r="J11" i="1"/>
  <c r="K12" i="1"/>
  <c r="J12" i="1"/>
  <c r="K13" i="1"/>
  <c r="J13" i="1"/>
  <c r="K14" i="1"/>
  <c r="J14" i="1"/>
  <c r="K15" i="1"/>
  <c r="J15" i="1"/>
  <c r="J16" i="1"/>
  <c r="K16" i="1"/>
  <c r="J17" i="1"/>
  <c r="K17" i="1"/>
  <c r="K18" i="1"/>
  <c r="J18" i="1"/>
  <c r="J19" i="1"/>
  <c r="K19" i="1"/>
  <c r="K20" i="1"/>
  <c r="J20" i="1"/>
  <c r="J21" i="1"/>
  <c r="K21" i="1"/>
  <c r="K22" i="1"/>
  <c r="J22" i="1"/>
  <c r="K23" i="1"/>
  <c r="J23" i="1"/>
  <c r="K24" i="1"/>
  <c r="J24" i="1"/>
  <c r="J25" i="1"/>
  <c r="K25" i="1"/>
  <c r="K26" i="1"/>
  <c r="J26" i="1"/>
  <c r="K27" i="1"/>
  <c r="J27" i="1"/>
  <c r="J3" i="1"/>
  <c r="K3" i="1"/>
</calcChain>
</file>

<file path=xl/sharedStrings.xml><?xml version="1.0" encoding="utf-8"?>
<sst xmlns="http://schemas.openxmlformats.org/spreadsheetml/2006/main" count="172" uniqueCount="92">
  <si>
    <t>Gym Membership Renewal Tracker</t>
  </si>
  <si>
    <t>MEMBER ID</t>
  </si>
  <si>
    <t>MEMBER NAME</t>
  </si>
  <si>
    <t>PLAN TYPE</t>
  </si>
  <si>
    <t>JOIN DATE</t>
  </si>
  <si>
    <t>PLAN DURATION (MONTHS)</t>
  </si>
  <si>
    <t>EXPIRY DATE</t>
  </si>
  <si>
    <t>DAYS LEFT</t>
  </si>
  <si>
    <t>STATUS</t>
  </si>
  <si>
    <t>RENEWAL MESSAGE</t>
  </si>
  <si>
    <t/>
  </si>
  <si>
    <t>MEMBER MAIL</t>
  </si>
  <si>
    <t xml:space="preserve">Monthly </t>
  </si>
  <si>
    <t xml:space="preserve">Quarterly </t>
  </si>
  <si>
    <t xml:space="preserve">Half-Yearly </t>
  </si>
  <si>
    <t>Annual</t>
  </si>
  <si>
    <t>Arjun Krishnan</t>
  </si>
  <si>
    <t>Lakshmi Narayanan</t>
  </si>
  <si>
    <t>Karthik Subramanian</t>
  </si>
  <si>
    <t>Meenakshi Sundaram</t>
  </si>
  <si>
    <t>Senthil Kumar</t>
  </si>
  <si>
    <t>Divya Rajendran</t>
  </si>
  <si>
    <t>Venkatesh Iyer</t>
  </si>
  <si>
    <t>Priya Balasubramanian</t>
  </si>
  <si>
    <t>Ravi Teja Reddy</t>
  </si>
  <si>
    <t>Sravani Chowdary</t>
  </si>
  <si>
    <t>Naga Sai Prasad</t>
  </si>
  <si>
    <t>Harika Varma</t>
  </si>
  <si>
    <t>Srinivas Rao</t>
  </si>
  <si>
    <t>Pavan Kalyan Naidu</t>
  </si>
  <si>
    <t>Anil Gowda</t>
  </si>
  <si>
    <t>Shruthi Hegde</t>
  </si>
  <si>
    <t>Manjunath Shetty</t>
  </si>
  <si>
    <t>Deepa Bhat</t>
  </si>
  <si>
    <t>Rohith Naik</t>
  </si>
  <si>
    <t>Anjali Menon</t>
  </si>
  <si>
    <t>Vishnu Nair</t>
  </si>
  <si>
    <t>Athira Pillai</t>
  </si>
  <si>
    <t>Arun Varghese</t>
  </si>
  <si>
    <t>Neethu Mathew</t>
  </si>
  <si>
    <t>Sreejith Kurup</t>
  </si>
  <si>
    <t>arjun.krishnan84@gmail.com</t>
  </si>
  <si>
    <t>lakshmi.narayanan27@gmail.com</t>
  </si>
  <si>
    <t>karthik.subramanian91@gmail.com</t>
  </si>
  <si>
    <t>meenakshi.sundaram36@gmail.com</t>
  </si>
  <si>
    <t>senthil.kumar58@gmail.com</t>
  </si>
  <si>
    <t>divya.rajendran73@gmail.com</t>
  </si>
  <si>
    <t>venkatesh.iyer19@gmail.com</t>
  </si>
  <si>
    <t>priya.balasubramanian62@gmail.com</t>
  </si>
  <si>
    <t>raviteja.reddy45@gmail.com</t>
  </si>
  <si>
    <t>sravani.chowdary88@gmail.com</t>
  </si>
  <si>
    <t>nagasai.prasad31@gmail.com</t>
  </si>
  <si>
    <t>harika.varma67@gmail.com</t>
  </si>
  <si>
    <t>srinivas.rao52@gmail.com</t>
  </si>
  <si>
    <t>pavankalyan.naidu14@gmail.com</t>
  </si>
  <si>
    <t>anil.gowda79@gmail.com</t>
  </si>
  <si>
    <t>shruthi.hegde23@gmail.com</t>
  </si>
  <si>
    <t>manjunath.shetty96@gmail.com</t>
  </si>
  <si>
    <t>deepa.bhat41@gmail.com</t>
  </si>
  <si>
    <t>rohith.naik65@gmail.com</t>
  </si>
  <si>
    <t>anjali.menon38@gmail.com</t>
  </si>
  <si>
    <t>vishnu.nair82@gmail.com</t>
  </si>
  <si>
    <t>athira.pillai29@gmail.com</t>
  </si>
  <si>
    <t>arun.varghese74@gmail.com</t>
  </si>
  <si>
    <t>neethu.mathew57@gmail.com</t>
  </si>
  <si>
    <t>sreejith.kurup16@gmail.com</t>
  </si>
  <si>
    <t>NO</t>
  </si>
  <si>
    <t>Row Labels</t>
  </si>
  <si>
    <t>Grand Total</t>
  </si>
  <si>
    <t>Sum of PLAN DURATION (MONTHS)</t>
  </si>
  <si>
    <t>Active</t>
  </si>
  <si>
    <t>Expired</t>
  </si>
  <si>
    <t>2026</t>
  </si>
  <si>
    <t>2027</t>
  </si>
  <si>
    <t>Qtr1</t>
  </si>
  <si>
    <t>Qtr2</t>
  </si>
  <si>
    <t>Qtr3</t>
  </si>
  <si>
    <t>Qtr4</t>
  </si>
  <si>
    <t>Column Labels</t>
  </si>
  <si>
    <t>Count of MEMBER ID</t>
  </si>
  <si>
    <t>Mar</t>
  </si>
  <si>
    <t>Apr</t>
  </si>
  <si>
    <t>May</t>
  </si>
  <si>
    <t>Jun</t>
  </si>
  <si>
    <t>Jul</t>
  </si>
  <si>
    <t>Aug</t>
  </si>
  <si>
    <t>Sep</t>
  </si>
  <si>
    <t>Oct</t>
  </si>
  <si>
    <t>Nov</t>
  </si>
  <si>
    <t>Dec</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</si>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</sst>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Aptos Narrow"/>
      <family val="2"/>
      <scheme val="minor"/>
    </font>
    <font>
      <sz val="11"/>
      <color theme="1"/>
      <name val="Arial"/>
      <family val="2"/>
    </font>
    <font>
      <sz val="11"/>
      <color theme="1"/>
      <name val="Aptos Narrow"/>
      <family val="2"/>
      <scheme val="minor"/>
    </font>
    <font>
      <b/>
      <sz val="14"/>
      <color theme="1"/>
      <name val="Aptos Narrow"/>
      <family val="2"/>
      <scheme val="minor"/>
    </font>
    <font>
      <b/>
      <sz val="18"/>
      <color theme="1"/>
      <name val="Arial"/>
      <family val="2"/>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0" fontId="0" fillId="2" borderId="0" xfId="0" applyFill="1"/>
    <xf numFmtId="0" fontId="0" fillId="3" borderId="0" xfId="0" applyFill="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0" borderId="1" xfId="0" applyFont="1" applyBorder="1" applyAlignment="1">
      <alignment vertical="center" wrapText="1"/>
    </xf>
    <xf numFmtId="0" fontId="0" fillId="0" borderId="1" xfId="0" applyBorder="1"/>
    <xf numFmtId="14" fontId="0" fillId="0" borderId="1" xfId="0" applyNumberFormat="1" applyBorder="1"/>
    <xf numFmtId="0" fontId="0" fillId="0" borderId="1" xfId="0" quotePrefix="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0" fillId="0" borderId="1" xfId="1" applyNumberFormat="1" applyFont="1" applyBorder="1"/>
    <xf numFmtId="0" fontId="4" fillId="2" borderId="0" xfId="0" applyFont="1" applyFill="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Active vs  Expired Counts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Active</c:v>
              </c:pt>
              <c:pt idx="1">
                <c:v>Expired</c:v>
              </c:pt>
            </c:strLit>
          </c:cat>
          <c:val>
            <c:numLit>
              <c:formatCode>General</c:formatCode>
              <c:ptCount val="2"/>
              <c:pt idx="0">
                <c:v>10</c:v>
              </c:pt>
              <c:pt idx="1">
                <c:v>15</c:v>
              </c:pt>
            </c:numLit>
          </c:val>
          <c:extLst>
            <c:ext xmlns:c16="http://schemas.microsoft.com/office/drawing/2014/chart" uri="{C3380CC4-5D6E-409C-BE32-E72D297353CC}">
              <c16:uniqueId val="{00000000-9710-4CC6-A9FD-97163DFB1FAB}"/>
            </c:ext>
          </c:extLst>
        </c:ser>
        <c:dLbls>
          <c:dLblPos val="inEnd"/>
          <c:showLegendKey val="0"/>
          <c:showVal val="1"/>
          <c:showCatName val="0"/>
          <c:showSerName val="0"/>
          <c:showPercent val="0"/>
          <c:showBubbleSize val="0"/>
        </c:dLbls>
        <c:gapWidth val="100"/>
        <c:overlap val="-24"/>
        <c:axId val="968099840"/>
        <c:axId val="985801968"/>
      </c:barChart>
      <c:catAx>
        <c:axId val="968099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01968"/>
        <c:crosses val="autoZero"/>
        <c:auto val="1"/>
        <c:lblAlgn val="ctr"/>
        <c:lblOffset val="100"/>
        <c:noMultiLvlLbl val="0"/>
      </c:catAx>
      <c:valAx>
        <c:axId val="985801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09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[Gym_Membership_Renewal_Tracker.xlsx]Pivot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Member Name and  Plan Duration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51-47EC-A2CD-140CD60525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51-47EC-A2CD-140CD60525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51-47EC-A2CD-140CD60525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951-47EC-A2CD-140CD60525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951-47EC-A2CD-140CD60525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951-47EC-A2CD-140CD60525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951-47EC-A2CD-140CD60525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951-47EC-A2CD-140CD605255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951-47EC-A2CD-140CD605255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951-47EC-A2CD-140CD605255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951-47EC-A2CD-140CD605255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951-47EC-A2CD-140CD605255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951-47EC-A2CD-140CD605255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951-47EC-A2CD-140CD605255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951-47EC-A2CD-140CD605255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951-47EC-A2CD-140CD605255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951-47EC-A2CD-140CD605255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951-47EC-A2CD-140CD605255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951-47EC-A2CD-140CD605255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951-47EC-A2CD-140CD605255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951-47EC-A2CD-140CD605255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951-47EC-A2CD-140CD605255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951-47EC-A2CD-140CD605255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951-47EC-A2CD-140CD605255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A951-47EC-A2CD-140CD6052553}"/>
              </c:ext>
            </c:extLst>
          </c:dPt>
          <c:cat>
            <c:strRef>
              <c:f>'Pivot Table'!$E$4:$E$29</c:f>
              <c:strCache>
                <c:ptCount val="25"/>
                <c:pt idx="0">
                  <c:v>Anil Gowda</c:v>
                </c:pt>
                <c:pt idx="1">
                  <c:v>Anjali Menon</c:v>
                </c:pt>
                <c:pt idx="2">
                  <c:v>Arjun Krishnan</c:v>
                </c:pt>
                <c:pt idx="3">
                  <c:v>Arun Varghese</c:v>
                </c:pt>
                <c:pt idx="4">
                  <c:v>Athira Pillai</c:v>
                </c:pt>
                <c:pt idx="5">
                  <c:v>Deepa Bhat</c:v>
                </c:pt>
                <c:pt idx="6">
                  <c:v>Divya Rajendran</c:v>
                </c:pt>
                <c:pt idx="7">
                  <c:v>Harika Varma</c:v>
                </c:pt>
                <c:pt idx="8">
                  <c:v>Karthik Subramanian</c:v>
                </c:pt>
                <c:pt idx="9">
                  <c:v>Lakshmi Narayanan</c:v>
                </c:pt>
                <c:pt idx="10">
                  <c:v>Manjunath Shetty</c:v>
                </c:pt>
                <c:pt idx="11">
                  <c:v>Meenakshi Sundaram</c:v>
                </c:pt>
                <c:pt idx="12">
                  <c:v>Naga Sai Prasad</c:v>
                </c:pt>
                <c:pt idx="13">
                  <c:v>Neethu Mathew</c:v>
                </c:pt>
                <c:pt idx="14">
                  <c:v>Pavan Kalyan Naidu</c:v>
                </c:pt>
                <c:pt idx="15">
                  <c:v>Priya Balasubramanian</c:v>
                </c:pt>
                <c:pt idx="16">
                  <c:v>Ravi Teja Reddy</c:v>
                </c:pt>
                <c:pt idx="17">
                  <c:v>Rohith Naik</c:v>
                </c:pt>
                <c:pt idx="18">
                  <c:v>Senthil Kumar</c:v>
                </c:pt>
                <c:pt idx="19">
                  <c:v>Shruthi Hegde</c:v>
                </c:pt>
                <c:pt idx="20">
                  <c:v>Sravani Chowdary</c:v>
                </c:pt>
                <c:pt idx="21">
                  <c:v>Sreejith Kurup</c:v>
                </c:pt>
                <c:pt idx="22">
                  <c:v>Srinivas Rao</c:v>
                </c:pt>
                <c:pt idx="23">
                  <c:v>Venkatesh Iyer</c:v>
                </c:pt>
                <c:pt idx="24">
                  <c:v>Vishnu Nair</c:v>
                </c:pt>
              </c:strCache>
            </c:strRef>
          </c:cat>
          <c:val>
            <c:numRef>
              <c:f>'Pivot Table'!$F$4:$F$29</c:f>
              <c:numCache>
                <c:formatCode>General</c:formatCode>
                <c:ptCount val="25"/>
                <c:pt idx="0">
                  <c:v>12</c:v>
                </c:pt>
                <c:pt idx="1">
                  <c:v>3</c:v>
                </c:pt>
                <c:pt idx="2">
                  <c:v>1</c:v>
                </c:pt>
                <c:pt idx="3">
                  <c:v>6</c:v>
                </c:pt>
                <c:pt idx="4">
                  <c:v>3</c:v>
                </c:pt>
                <c:pt idx="5">
                  <c:v>12</c:v>
                </c:pt>
                <c:pt idx="6">
                  <c:v>12</c:v>
                </c:pt>
                <c:pt idx="7">
                  <c:v>1</c:v>
                </c:pt>
                <c:pt idx="8">
                  <c:v>1</c:v>
                </c:pt>
                <c:pt idx="9">
                  <c:v>3</c:v>
                </c:pt>
                <c:pt idx="10">
                  <c:v>6</c:v>
                </c:pt>
                <c:pt idx="11">
                  <c:v>3</c:v>
                </c:pt>
                <c:pt idx="12">
                  <c:v>3</c:v>
                </c:pt>
                <c:pt idx="13">
                  <c:v>12</c:v>
                </c:pt>
                <c:pt idx="14">
                  <c:v>6</c:v>
                </c:pt>
                <c:pt idx="15">
                  <c:v>3</c:v>
                </c:pt>
                <c:pt idx="16">
                  <c:v>1</c:v>
                </c:pt>
                <c:pt idx="17">
                  <c:v>3</c:v>
                </c:pt>
                <c:pt idx="18">
                  <c:v>6</c:v>
                </c:pt>
                <c:pt idx="19">
                  <c:v>3</c:v>
                </c:pt>
                <c:pt idx="20">
                  <c:v>3</c:v>
                </c:pt>
                <c:pt idx="21">
                  <c:v>1</c:v>
                </c:pt>
                <c:pt idx="22">
                  <c:v>3</c:v>
                </c:pt>
                <c:pt idx="23">
                  <c:v>3</c:v>
                </c:pt>
                <c:pt idx="24">
                  <c:v>3</c:v>
                </c:pt>
              </c:numCache>
            </c:numRef>
          </c:val>
          <c:extLst>
            <c:ext xmlns:c16="http://schemas.microsoft.com/office/drawing/2014/chart" uri="{C3380CC4-5D6E-409C-BE32-E72D297353CC}">
              <c16:uniqueId val="{00000032-A951-47EC-A2CD-140CD60525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[Gym_Membership_Renewal_Tracker.xlsx]Pivot Table!PivotTable7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Expiry</a:t>
            </a:r>
            <a:r>
              <a:rPr lang="en-GB" baseline="0"/>
              <a:t>  By Months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Table'!$I$3:$I$4</c:f>
              <c:strCache>
                <c:ptCount val="1"/>
                <c:pt idx="0">
                  <c:v>Active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Table'!$I$5:$I$17</c:f>
              <c:numCache>
                <c:formatCode>General</c:formatCode>
                <c:ptCount val="12"/>
                <c:pt idx="0">
                  <c:v>3</c:v>
                </c:pt>
                <c:pt idx="1">
                  <c:v>1</c:v>
                </c:pt>
                <c:pt idx="2">
                  <c:v>1</c:v>
                </c:pt>
                <c:pt idx="5">
                  <c:v>1</c:v>
                </c:pt>
                <c:pt idx="10">
                  <c:v>3</c:v>
                </c:pt>
                <c:pt idx="11">
                  <c:v>1</c:v>
                </c:pt>
              </c:numCache>
            </c:numRef>
          </c:val>
          <c:smooth val="0"/>
          <c:extLst>
            <c:ext xmlns:c16="http://schemas.microsoft.com/office/drawing/2014/chart" uri="{C3380CC4-5D6E-409C-BE32-E72D297353CC}">
              <c16:uniqueId val="{00000000-D623-4D5C-8BBD-B2E9FC10F9CA}"/>
            </c:ext>
          </c:extLst>
        </c:ser>
        <c:ser>
          <c:idx val="1"/>
          <c:order val="1"/>
          <c:tx>
            <c:strRef>
              <c:f>'Pivot Table'!$J$3:$J$4</c:f>
              <c:strCache>
                <c:ptCount val="1"/>
                <c:pt idx="0">
                  <c:v>Expired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Table'!$J$5:$J$17</c:f>
              <c:numCache>
                <c:formatCode>General</c:formatCode>
                <c:ptCount val="12"/>
                <c:pt idx="2">
                  <c:v>1</c:v>
                </c:pt>
                <c:pt idx="3">
                  <c:v>1</c:v>
                </c:pt>
                <c:pt idx="4">
                  <c:v>3</c:v>
                </c:pt>
                <c:pt idx="5">
                  <c:v>1</c:v>
                </c:pt>
                <c:pt idx="6">
                  <c:v>2</c:v>
                </c:pt>
                <c:pt idx="7">
                  <c:v>4</c:v>
                </c:pt>
                <c:pt idx="8">
                  <c:v>2</c:v>
                </c:pt>
                <c:pt idx="9">
                  <c:v>1</c:v>
                </c:pt>
              </c:numCache>
            </c:numRef>
          </c:val>
          <c:smooth val="0"/>
          <c:extLst>
            <c:ext xmlns:c16="http://schemas.microsoft.com/office/drawing/2014/chart" uri="{C3380CC4-5D6E-409C-BE32-E72D297353CC}">
              <c16:uniqueId val="{00000001-D623-4D5C-8BBD-B2E9FC10F9CA}"/>
            </c:ext>
          </c:extLst>
        </c:ser>
        <c:dLbls>
          <c:showLegendKey val="0"/>
          <c:showVal val="0"/>
          <c:showCatName val="0"/>
          <c:showSerName val="0"/>
          <c:showPercent val="0"/>
          <c:showBubbleSize val="0"/>
        </c:dLbls>
        <c:marker val="1"/>
        <c:smooth val="0"/>
        <c:axId val="859446656"/>
        <c:axId val="985755888"/>
      </c:lineChart>
      <c:catAx>
        <c:axId val="859446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755888"/>
        <c:crosses val="autoZero"/>
        <c:auto val="1"/>
        <c:lblAlgn val="ctr"/>
        <c:lblOffset val="100"/>
        <c:noMultiLvlLbl val="0"/>
      </c:catAx>
      <c:valAx>
        <c:axId val="985755888"/>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44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[Gym_Membership_Renewal_Tracker.xlsx]Pivot Table!PivotTable10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Most Chosen Plan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Table'!$I$21:$I$22</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Table'!$H$23:$H$27</c:f>
              <c:strCache>
                <c:ptCount val="4"/>
                <c:pt idx="0">
                  <c:v>Annual</c:v>
                </c:pt>
                <c:pt idx="1">
                  <c:v>Half-Yearly </c:v>
                </c:pt>
                <c:pt idx="2">
                  <c:v>Monthly </c:v>
                </c:pt>
                <c:pt idx="3">
                  <c:v>Quarterly </c:v>
                </c:pt>
              </c:strCache>
            </c:strRef>
          </c:cat>
          <c:val>
            <c:numRef>
              <c:f>'Pivot Table'!$I$23:$I$27</c:f>
              <c:numCache>
                <c:formatCode>General</c:formatCode>
                <c:ptCount val="4"/>
                <c:pt idx="0">
                  <c:v>4</c:v>
                </c:pt>
                <c:pt idx="1">
                  <c:v>2</c:v>
                </c:pt>
                <c:pt idx="2">
                  <c:v>2</c:v>
                </c:pt>
                <c:pt idx="3">
                  <c:v>2</c:v>
                </c:pt>
              </c:numCache>
            </c:numRef>
          </c:val>
          <c:extLst>
            <c:ext xmlns:c16="http://schemas.microsoft.com/office/drawing/2014/chart" uri="{C3380CC4-5D6E-409C-BE32-E72D297353CC}">
              <c16:uniqueId val="{00000000-2C28-4F33-AA8A-F222267FAFE8}"/>
            </c:ext>
          </c:extLst>
        </c:ser>
        <c:ser>
          <c:idx val="1"/>
          <c:order val="1"/>
          <c:tx>
            <c:strRef>
              <c:f>'Pivot Table'!$J$21:$J$22</c:f>
              <c:strCache>
                <c:ptCount val="1"/>
                <c:pt idx="0">
                  <c:v>Expired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Table'!$H$23:$H$27</c:f>
              <c:strCache>
                <c:ptCount val="4"/>
                <c:pt idx="0">
                  <c:v>Annual</c:v>
                </c:pt>
                <c:pt idx="1">
                  <c:v>Half-Yearly </c:v>
                </c:pt>
                <c:pt idx="2">
                  <c:v>Monthly </c:v>
                </c:pt>
                <c:pt idx="3">
                  <c:v>Quarterly </c:v>
                </c:pt>
              </c:strCache>
            </c:strRef>
          </c:cat>
          <c:val>
            <c:numRef>
              <c:f>'Pivot Table'!$J$23:$J$27</c:f>
              <c:numCache>
                <c:formatCode>General</c:formatCode>
                <c:ptCount val="4"/>
                <c:pt idx="1">
                  <c:v>2</c:v>
                </c:pt>
                <c:pt idx="2">
                  <c:v>3</c:v>
                </c:pt>
                <c:pt idx="3">
                  <c:v>10</c:v>
                </c:pt>
              </c:numCache>
            </c:numRef>
          </c:val>
          <c:extLst>
            <c:ext xmlns:c16="http://schemas.microsoft.com/office/drawing/2014/chart" uri="{C3380CC4-5D6E-409C-BE32-E72D297353CC}">
              <c16:uniqueId val="{00000001-2C28-4F33-AA8A-F222267FAFE8}"/>
            </c:ext>
          </c:extLst>
        </c:ser>
        <c:dLbls>
          <c:showLegendKey val="0"/>
          <c:showVal val="0"/>
          <c:showCatName val="0"/>
          <c:showSerName val="0"/>
          <c:showPercent val="0"/>
          <c:showBubbleSize val="0"/>
        </c:dLbls>
        <c:gapWidth val="115"/>
        <c:overlap val="-20"/>
        <c:axId val="859433200"/>
        <c:axId val="239531248"/>
      </c:barChart>
      <c:catAx>
        <c:axId val="85943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531248"/>
        <c:crosses val="autoZero"/>
        <c:auto val="1"/>
        <c:lblAlgn val="ctr"/>
        <c:lblOffset val="100"/>
        <c:noMultiLvlLbl val="0"/>
      </c:catAx>
      <c:valAx>
        <c:axId val="2395312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43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327660</xdr:colOff>
      <xdr:row>0</xdr:row>
      <xdr:rowOff>45720</xdr:rowOff>
    </xdr:from>
    <xdr:to>
      <xdr:col>7</xdr:col>
      <xdr:colOff>365760</xdr:colOff>
      <xdr:row>14</xdr:row>
      <xdr:rowOff>160020</xdr:rowOff>
    </xdr:to>
    <xdr:graphicFrame macro="">
      <xdr:nvGraphicFramePr>
        <xdr:cNvPr id="4" name="Chart 3">
          <a:extLst>
            <a:ext uri="{FF2B5EF4-FFF2-40B4-BE49-F238E27FC236}">
              <a16:creationId xmlns:a16="http://schemas.microsoft.com/office/drawing/2014/main" id="{9E7259AC-DA4F-4BED-BDFA-6A321ADB0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175260</xdr:colOff>
      <xdr:row>0</xdr:row>
      <xdr:rowOff>160020</xdr:rowOff>
    </xdr:from>
    <xdr:to>
      <xdr:col>15</xdr:col>
      <xdr:colOff>213360</xdr:colOff>
      <xdr:row>15</xdr:row>
      <xdr:rowOff>22860</xdr:rowOff>
    </xdr:to>
    <xdr:graphicFrame macro="">
      <xdr:nvGraphicFramePr>
        <xdr:cNvPr id="5" name="Chart 4">
          <a:extLst>
            <a:ext uri="{FF2B5EF4-FFF2-40B4-BE49-F238E27FC236}">
              <a16:creationId xmlns:a16="http://schemas.microsoft.com/office/drawing/2014/main" id="{0CE39178-64DD-4DC0-B35E-D5DB71252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312420</xdr:colOff>
      <xdr:row>0</xdr:row>
      <xdr:rowOff>160020</xdr:rowOff>
    </xdr:from>
    <xdr:to>
      <xdr:col>23</xdr:col>
      <xdr:colOff>7620</xdr:colOff>
      <xdr:row>15</xdr:row>
      <xdr:rowOff>30480</xdr:rowOff>
    </xdr:to>
    <xdr:graphicFrame macro="">
      <xdr:nvGraphicFramePr>
        <xdr:cNvPr id="7" name="Chart 6">
          <a:extLst>
            <a:ext uri="{FF2B5EF4-FFF2-40B4-BE49-F238E27FC236}">
              <a16:creationId xmlns:a16="http://schemas.microsoft.com/office/drawing/2014/main" id="{62CB55B2-8598-41DA-8824-666535152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53340</xdr:colOff>
      <xdr:row>16</xdr:row>
      <xdr:rowOff>152400</xdr:rowOff>
    </xdr:from>
    <xdr:to>
      <xdr:col>12</xdr:col>
      <xdr:colOff>53340</xdr:colOff>
      <xdr:row>30</xdr:row>
      <xdr:rowOff>173355</xdr:rowOff>
    </xdr:to>
    <mc:AlternateContent xmlns:mc="http://schemas.openxmlformats.org/markup-compatibility/2006" xmlns:a14="http://schemas.microsoft.com/office/drawing/2010/main">
      <mc:Choice Requires="a14">
        <xdr:graphicFrame macro="">
          <xdr:nvGraphicFramePr>
            <xdr:cNvPr id="8" name="MEMBER ID">
              <a:extLst>
                <a:ext uri="{FF2B5EF4-FFF2-40B4-BE49-F238E27FC236}">
                  <a16:creationId xmlns:a16="http://schemas.microsoft.com/office/drawing/2014/main" id="{9B7E6EEA-0B41-4C17-93B5-7E95DFA6D6FE}"/>
                </a:ext>
              </a:extLst>
            </xdr:cNvPr>
            <xdr:cNvGraphicFramePr/>
          </xdr:nvGraphicFramePr>
          <xdr:xfrm>
            <a:off x="0" y="0"/>
            <a:ext cx="0" cy="0"/>
          </xdr:xfrm>
          <a:graphic>
            <a:graphicData uri="http://schemas.microsoft.com/office/drawing/2010/slicer">
              <sle:slicer xmlns:sle="http://schemas.microsoft.com/office/drawing/2010/slicer" name="MEMBER ID"/>
            </a:graphicData>
          </a:graphic>
        </xdr:graphicFrame>
      </mc:Choice>
      <mc:Fallback xmlns="">
        <xdr:sp macro="" textlink="">
          <xdr:nvSpPr>
            <xdr:cNvPr id="0" name=""/>
            <xdr:cNvSpPr>
              <a:spLocks noTextEdit="1"/>
            </xdr:cNvSpPr>
          </xdr:nvSpPr>
          <xdr:spPr>
            <a:xfrm>
              <a:off x="5539740" y="30784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16</xdr:row>
      <xdr:rowOff>152400</xdr:rowOff>
    </xdr:from>
    <xdr:to>
      <xdr:col>15</xdr:col>
      <xdr:colOff>571500</xdr:colOff>
      <xdr:row>30</xdr:row>
      <xdr:rowOff>158115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47B52558-225B-48E4-8C1B-BD4CC91CAE5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886700" y="3078480"/>
              <a:ext cx="1828800" cy="25660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16</xdr:row>
      <xdr:rowOff>129540</xdr:rowOff>
    </xdr:from>
    <xdr:to>
      <xdr:col>19</xdr:col>
      <xdr:colOff>396240</xdr:colOff>
      <xdr:row>30</xdr:row>
      <xdr:rowOff>150495</xdr:rowOff>
    </xdr:to>
    <mc:AlternateContent xmlns:mc="http://schemas.openxmlformats.org/markup-compatibility/2006" xmlns:a14="http://schemas.microsoft.com/office/drawing/2010/main">
      <mc:Choice Requires="a14">
        <xdr:graphicFrame macro="">
          <xdr:nvGraphicFramePr>
            <xdr:cNvPr id="10" name="PLAN TYPE">
              <a:extLst>
                <a:ext uri="{FF2B5EF4-FFF2-40B4-BE49-F238E27FC236}">
                  <a16:creationId xmlns:a16="http://schemas.microsoft.com/office/drawing/2014/main" id="{8E841262-92B3-4811-A78E-284881FEDF93}"/>
                </a:ext>
              </a:extLst>
            </xdr:cNvPr>
            <xdr:cNvGraphicFramePr/>
          </xdr:nvGraphicFramePr>
          <xdr:xfrm>
            <a:off x="0" y="0"/>
            <a:ext cx="0" cy="0"/>
          </xdr:xfrm>
          <a:graphic>
            <a:graphicData uri="http://schemas.microsoft.com/office/drawing/2010/slicer">
              <sle:slicer xmlns:sle="http://schemas.microsoft.com/office/drawing/2010/slicer" name="PLAN TYPE"/>
            </a:graphicData>
          </a:graphic>
        </xdr:graphicFrame>
      </mc:Choice>
      <mc:Fallback xmlns="">
        <xdr:sp macro="" textlink="">
          <xdr:nvSpPr>
            <xdr:cNvPr id="0" name=""/>
            <xdr:cNvSpPr>
              <a:spLocks noTextEdit="1"/>
            </xdr:cNvSpPr>
          </xdr:nvSpPr>
          <xdr:spPr>
            <a:xfrm>
              <a:off x="10149840" y="30556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16</xdr:row>
      <xdr:rowOff>68580</xdr:rowOff>
    </xdr:from>
    <xdr:to>
      <xdr:col>8</xdr:col>
      <xdr:colOff>76200</xdr:colOff>
      <xdr:row>31</xdr:row>
      <xdr:rowOff>68580</xdr:rowOff>
    </xdr:to>
    <xdr:graphicFrame macro="">
      <xdr:nvGraphicFramePr>
        <xdr:cNvPr id="11" name="Chart 10">
          <a:extLst>
            <a:ext uri="{FF2B5EF4-FFF2-40B4-BE49-F238E27FC236}">
              <a16:creationId xmlns:a16="http://schemas.microsoft.com/office/drawing/2014/main" id="{D0ADC2C6-1766-4AF9-ACFA-6FD1DAB0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na Rajendran" refreshedDate="46305.557088657406" createdVersion="8" refreshedVersion="8" minRefreshableVersion="3" recordCount="25" xr:uid="{724525D4-7A9F-402F-8716-AC930D912B8D}">
  <cacheSource type="worksheet">
    <worksheetSource ref="A2:M27" sheet="MEMBER DETAIL"/>
  </cacheSource>
  <cacheFields count="16">
    <cacheField name="NO" numFmtId="0">
      <sharedItems containsSemiMixedTypes="0" containsString="0" containsNumber="1" containsInteger="1" minValue="1" maxValue="25"/>
    </cacheField>
    <cacheField name="MEMBER ID" numFmtId="0">
      <sharedItems containsSemiMixedTypes="0" containsString="0" containsNumber="1" containsInteger="1" minValue="1001" maxValue="1025" count="25">
        <n v="1001"/>
        <n v="1002"/>
        <n v="1003"/>
        <n v="1004"/>
        <n v="1005"/>
        <n v="1006"/>
        <n v="1007"/>
        <n v="1008"/>
        <n v="1009"/>
        <n v="1010"/>
        <n v="1011"/>
        <n v="1012"/>
        <n v="1013"/>
        <n v="1014"/>
        <n v="1015"/>
        <n v="1016"/>
        <n v="1017"/>
        <n v="1018"/>
        <n v="1019"/>
        <n v="1020"/>
        <n v="1021"/>
        <n v="1022"/>
        <n v="1023"/>
        <n v="1024"/>
        <n v="1025"/>
      </sharedItems>
    </cacheField>
    <cacheField name="MEMBER NAME" numFmtId="0">
      <sharedItems count="25">
        <s v="Arjun Krishnan"/>
        <s v="Lakshmi Narayanan"/>
        <s v="Karthik Subramanian"/>
        <s v="Meenakshi Sundaram"/>
        <s v="Senthil Kumar"/>
        <s v="Divya Rajendran"/>
        <s v="Venkatesh Iyer"/>
        <s v="Priya Balasubramanian"/>
        <s v="Ravi Teja Reddy"/>
        <s v="Sravani Chowdary"/>
        <s v="Naga Sai Prasad"/>
        <s v="Harika Varma"/>
        <s v="Srinivas Rao"/>
        <s v="Pavan Kalyan Naidu"/>
        <s v="Anil Gowda"/>
        <s v="Shruthi Hegde"/>
        <s v="Manjunath Shetty"/>
        <s v="Deepa Bhat"/>
        <s v="Rohith Naik"/>
        <s v="Anjali Menon"/>
        <s v="Vishnu Nair"/>
        <s v="Athira Pillai"/>
        <s v="Arun Varghese"/>
        <s v="Neethu Mathew"/>
        <s v="Sreejith Kurup"/>
      </sharedItems>
    </cacheField>
    <cacheField name="MEMBER MAIL" numFmtId="0">
      <sharedItems/>
    </cacheField>
    <cacheField name="PLAN TYPE" numFmtId="0">
      <sharedItems count="4">
        <s v="Monthly "/>
        <s v="Quarterly "/>
        <s v="Half-Yearly "/>
        <s v="Annual"/>
      </sharedItems>
    </cacheField>
    <cacheField name="JOIN DATE" numFmtId="14">
      <sharedItems containsSemiMixedTypes="0" containsNonDate="0" containsDate="1" containsString="0" minDate="2026-01-01T00:00:00" maxDate="2026-10-02T00:00:00"/>
    </cacheField>
    <cacheField name="PLAN DURATION (MONTHS)" numFmtId="0">
      <sharedItems containsSemiMixedTypes="0" containsString="0" containsNumber="1" containsInteger="1" minValue="1" maxValue="12" count="4">
        <n v="1"/>
        <n v="3"/>
        <n v="6"/>
        <n v="12"/>
      </sharedItems>
    </cacheField>
    <cacheField name="EXPIRY DATE" numFmtId="14">
      <sharedItems containsSemiMixedTypes="0" containsNonDate="0" containsDate="1" containsString="0" minDate="2026-03-11T00:00:00" maxDate="2027-06-03T00:00:00" count="23">
        <d v="2026-10-02T00:00:00"/>
        <d v="2026-09-03T00:00:00"/>
        <d v="2026-06-25T00:00:00"/>
        <d v="2026-09-01T00:00:00"/>
        <d v="2026-07-01T00:00:00"/>
        <d v="2027-01-22T00:00:00"/>
        <d v="2026-04-01T00:00:00"/>
        <d v="2026-08-25T00:00:00"/>
        <d v="2026-03-11T00:00:00"/>
        <d v="2026-08-06T00:00:00"/>
        <d v="2026-12-01T00:00:00"/>
        <d v="2026-11-01T00:00:00"/>
        <d v="2026-08-26T00:00:00"/>
        <d v="2027-03-03T00:00:00"/>
        <d v="2026-05-04T00:00:00"/>
        <d v="2026-07-06T00:00:00"/>
        <d v="2027-06-02T00:00:00"/>
        <d v="2026-11-02T00:00:00"/>
        <d v="2026-08-09T00:00:00"/>
        <d v="2026-05-01T00:00:00"/>
        <d v="2026-05-28T00:00:00"/>
        <d v="2027-01-02T00:00:00"/>
        <d v="2027-02-09T00:00:00"/>
      </sharedItems>
      <fieldGroup par="15"/>
    </cacheField>
    <cacheField name="DAYS LEFT" numFmtId="2">
      <sharedItems containsSemiMixedTypes="0" containsString="0" containsNumber="1" containsInteger="1" minValue="-213" maxValue="46304"/>
    </cacheField>
    <cacheField name="STATUS" numFmtId="0">
      <sharedItems count="2">
        <s v="Expired"/>
        <s v="Active"/>
      </sharedItems>
    </cacheField>
    <cacheField name="RENEWAL MESSAGE" numFmtId="0">
      <sharedItems/>
    </cacheField>
    <cacheField name="Field12" caption="Field12" numFmtId="0">
      <sharedItems containsNonDate="0" containsString="0" containsBlank="1"/>
    </cacheField>
    <cacheField name="Field13" caption="Field13" numFmtId="0">
      <sharedItems containsNonDate="0" containsString="0" containsBlank="1"/>
    </cacheField>
    <cacheField name="Months (EXPIRY DATE)" numFmtId="0" databaseField="0">
      <fieldGroup base="7">
        <rangePr groupBy="months" startDate="2026-03-11T00:00:00" endDate="2027-06-03T00:00:00"/>
        <groupItems count="14">
          <s v="&lt;11/03/2026"/>
          <s v="Jan"/>
          <s v="Feb"/>
          <s v="Mar"/>
          <s v="Apr"/>
          <s v="May"/>
          <s v="Jun"/>
          <s v="Jul"/>
          <s v="Aug"/>
          <s v="Sep"/>
          <s v="Oct"/>
          <s v="Nov"/>
          <s v="Dec"/>
          <s v="&gt;03/06/2027"/>
        </groupItems>
      </fieldGroup>
    </cacheField>
    <cacheField name="Quarters (EXPIRY DATE)" numFmtId="0" databaseField="0">
      <fieldGroup base="7">
        <rangePr groupBy="quarters" startDate="2026-03-11T00:00:00" endDate="2027-06-03T00:00:00"/>
        <groupItems count="6">
          <s v="&lt;11/03/2026"/>
          <s v="Qtr1"/>
          <s v="Qtr2"/>
          <s v="Qtr3"/>
          <s v="Qtr4"/>
          <s v="&gt;03/06/2027"/>
        </groupItems>
      </fieldGroup>
    </cacheField>
    <cacheField name="Years (EXPIRY DATE)" numFmtId="0" databaseField="0">
      <fieldGroup base="7">
        <rangePr groupBy="years" startDate="2026-03-11T00:00:00" endDate="2027-06-03T00:00:00"/>
        <groupItems count="4">
          <s v="&lt;11/03/2026"/>
          <s v="2026"/>
          <s v="2027"/>
          <s v="&gt;03/06/2027"/>
        </groupItems>
      </fieldGroup>
    </cacheField>
  </cacheFields>
  <extLst>
    <ext xmlns:x14="http://schemas.microsoft.com/office/spreadsheetml/2009/9/main" uri="{725AE2AE-9491-48be-B2B4-4EB974FC3084}">
      <x14:pivotCacheDefinition pivotCacheId="2064048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s v="arjun.krishnan84@gmail.com"/>
    <x v="0"/>
    <d v="2026-09-02T00:00:00"/>
    <x v="0"/>
    <x v="0"/>
    <n v="46304"/>
    <x v="0"/>
    <s v=" Hi Arjun Krishnan,your Monthly  membership expires on 02 Oct 2026 . Please renew soon! "/>
    <m/>
    <m/>
  </r>
  <r>
    <n v="2"/>
    <x v="1"/>
    <x v="1"/>
    <s v="lakshmi.narayanan27@gmail.com"/>
    <x v="1"/>
    <d v="2026-06-03T00:00:00"/>
    <x v="1"/>
    <x v="1"/>
    <n v="-37"/>
    <x v="0"/>
    <s v=" Hi Lakshmi Narayanan,your Quarterly  membership expires on 03 Sep 2026 . Please renew soon! "/>
    <m/>
    <m/>
  </r>
  <r>
    <n v="3"/>
    <x v="2"/>
    <x v="2"/>
    <s v="karthik.subramanian91@gmail.com"/>
    <x v="0"/>
    <d v="2026-05-25T00:00:00"/>
    <x v="0"/>
    <x v="2"/>
    <n v="-107"/>
    <x v="0"/>
    <s v=" Hi Karthik Subramanian,your Monthly  membership expires on 25 Jun 2026 . Please renew soon! "/>
    <m/>
    <m/>
  </r>
  <r>
    <n v="4"/>
    <x v="3"/>
    <x v="3"/>
    <s v="meenakshi.sundaram36@gmail.com"/>
    <x v="1"/>
    <d v="2026-06-01T00:00:00"/>
    <x v="1"/>
    <x v="3"/>
    <n v="-39"/>
    <x v="0"/>
    <s v=" Hi Meenakshi Sundaram,your Quarterly  membership expires on 01 Sep 2026 . Please renew soon! "/>
    <m/>
    <m/>
  </r>
  <r>
    <n v="5"/>
    <x v="4"/>
    <x v="4"/>
    <s v="senthil.kumar58@gmail.com"/>
    <x v="2"/>
    <d v="2026-01-01T00:00:00"/>
    <x v="2"/>
    <x v="4"/>
    <n v="-101"/>
    <x v="0"/>
    <s v=" Hi Senthil Kumar,your Half-Yearly  membership expires on 01 Jul 2026 . Please renew soon! "/>
    <m/>
    <m/>
  </r>
  <r>
    <n v="6"/>
    <x v="5"/>
    <x v="5"/>
    <s v="divya.rajendran73@gmail.com"/>
    <x v="3"/>
    <d v="2026-01-22T00:00:00"/>
    <x v="3"/>
    <x v="5"/>
    <n v="104"/>
    <x v="1"/>
    <s v=" Hi Divya Rajendran,your Annual membership expires on 22 Jan 2027 . Please renew soon! "/>
    <m/>
    <m/>
  </r>
  <r>
    <n v="7"/>
    <x v="6"/>
    <x v="6"/>
    <s v="venkatesh.iyer19@gmail.com"/>
    <x v="1"/>
    <d v="2026-01-01T00:00:00"/>
    <x v="1"/>
    <x v="6"/>
    <n v="-192"/>
    <x v="0"/>
    <s v=" Hi Venkatesh Iyer,your Quarterly  membership expires on 01 Apr 2026 . Please renew soon! "/>
    <m/>
    <m/>
  </r>
  <r>
    <n v="8"/>
    <x v="7"/>
    <x v="7"/>
    <s v="priya.balasubramanian62@gmail.com"/>
    <x v="1"/>
    <d v="2026-05-25T00:00:00"/>
    <x v="1"/>
    <x v="7"/>
    <n v="-46"/>
    <x v="0"/>
    <s v=" Hi Priya Balasubramanian,your Quarterly  membership expires on 25 Aug 2026 . Please renew soon! "/>
    <m/>
    <m/>
  </r>
  <r>
    <n v="9"/>
    <x v="8"/>
    <x v="8"/>
    <s v="raviteja.reddy45@gmail.com"/>
    <x v="0"/>
    <d v="2026-02-11T00:00:00"/>
    <x v="0"/>
    <x v="8"/>
    <n v="-213"/>
    <x v="0"/>
    <s v=" Hi Ravi Teja Reddy,your Monthly  membership expires on 11 Mar 2026 . Please renew soon! "/>
    <m/>
    <m/>
  </r>
  <r>
    <n v="10"/>
    <x v="9"/>
    <x v="9"/>
    <s v="sravani.chowdary88@gmail.com"/>
    <x v="1"/>
    <d v="2026-05-06T00:00:00"/>
    <x v="1"/>
    <x v="9"/>
    <n v="-65"/>
    <x v="0"/>
    <s v=" Hi Sravani Chowdary,your Quarterly  membership expires on 06 Aug 2026 . Please renew soon! "/>
    <m/>
    <m/>
  </r>
  <r>
    <n v="11"/>
    <x v="10"/>
    <x v="10"/>
    <s v="nagasai.prasad31@gmail.com"/>
    <x v="1"/>
    <d v="2026-09-01T00:00:00"/>
    <x v="1"/>
    <x v="10"/>
    <n v="52"/>
    <x v="1"/>
    <s v=" Hi Naga Sai Prasad,your Quarterly  membership expires on 01 Dec 2026 . Please renew soon! "/>
    <m/>
    <m/>
  </r>
  <r>
    <n v="12"/>
    <x v="11"/>
    <x v="11"/>
    <s v="harika.varma67@gmail.com"/>
    <x v="0"/>
    <d v="2026-10-01T00:00:00"/>
    <x v="0"/>
    <x v="11"/>
    <n v="22"/>
    <x v="1"/>
    <s v=" Hi Harika Varma,your Monthly  membership expires on 01 Nov 2026 . Please renew soon! "/>
    <m/>
    <m/>
  </r>
  <r>
    <n v="13"/>
    <x v="12"/>
    <x v="12"/>
    <s v="srinivas.rao52@gmail.com"/>
    <x v="1"/>
    <d v="2026-05-26T00:00:00"/>
    <x v="1"/>
    <x v="12"/>
    <n v="-45"/>
    <x v="0"/>
    <s v=" Hi Srinivas Rao,your Quarterly  membership expires on 26 Aug 2026 . Please renew soon! "/>
    <m/>
    <m/>
  </r>
  <r>
    <n v="14"/>
    <x v="13"/>
    <x v="13"/>
    <s v="pavankalyan.naidu14@gmail.com"/>
    <x v="2"/>
    <d v="2026-07-22T00:00:00"/>
    <x v="2"/>
    <x v="5"/>
    <n v="104"/>
    <x v="1"/>
    <s v=" Hi Pavan Kalyan Naidu,your Half-Yearly  membership expires on 22 Jan 2027 . Please renew soon! "/>
    <m/>
    <m/>
  </r>
  <r>
    <n v="15"/>
    <x v="14"/>
    <x v="14"/>
    <s v="anil.gowda79@gmail.com"/>
    <x v="3"/>
    <d v="2026-03-03T00:00:00"/>
    <x v="3"/>
    <x v="13"/>
    <n v="144"/>
    <x v="1"/>
    <s v=" Hi Anil Gowda,your Annual membership expires on 03 Mar 2027 . Please renew soon! "/>
    <m/>
    <m/>
  </r>
  <r>
    <n v="16"/>
    <x v="15"/>
    <x v="15"/>
    <s v="shruthi.hegde23@gmail.com"/>
    <x v="1"/>
    <d v="2026-02-04T00:00:00"/>
    <x v="1"/>
    <x v="14"/>
    <n v="-159"/>
    <x v="0"/>
    <s v=" Hi Shruthi Hegde,your Quarterly  membership expires on 04 May 2026 . Please renew soon! "/>
    <m/>
    <m/>
  </r>
  <r>
    <n v="17"/>
    <x v="16"/>
    <x v="16"/>
    <s v="manjunath.shetty96@gmail.com"/>
    <x v="2"/>
    <d v="2026-01-06T00:00:00"/>
    <x v="2"/>
    <x v="15"/>
    <n v="-96"/>
    <x v="0"/>
    <s v=" Hi Manjunath Shetty,your Half-Yearly  membership expires on 06 Jul 2026 . Please renew soon! "/>
    <m/>
    <m/>
  </r>
  <r>
    <n v="18"/>
    <x v="17"/>
    <x v="17"/>
    <s v="deepa.bhat41@gmail.com"/>
    <x v="3"/>
    <d v="2026-06-02T00:00:00"/>
    <x v="3"/>
    <x v="16"/>
    <n v="235"/>
    <x v="1"/>
    <s v=" Hi Deepa Bhat,your Annual membership expires on 02 Jun 2027 . Please renew soon! "/>
    <m/>
    <m/>
  </r>
  <r>
    <n v="19"/>
    <x v="18"/>
    <x v="18"/>
    <s v="rohith.naik65@gmail.com"/>
    <x v="1"/>
    <d v="2026-08-02T00:00:00"/>
    <x v="1"/>
    <x v="17"/>
    <n v="23"/>
    <x v="1"/>
    <s v=" Hi Rohith Naik,your Quarterly  membership expires on 02 Nov 2026 . Please renew soon! "/>
    <m/>
    <m/>
  </r>
  <r>
    <n v="20"/>
    <x v="19"/>
    <x v="19"/>
    <s v="anjali.menon38@gmail.com"/>
    <x v="1"/>
    <d v="2026-05-09T00:00:00"/>
    <x v="1"/>
    <x v="18"/>
    <n v="-62"/>
    <x v="0"/>
    <s v=" Hi Anjali Menon,your Quarterly  membership expires on 09 Aug 2026 . Please renew soon! "/>
    <m/>
    <m/>
  </r>
  <r>
    <n v="21"/>
    <x v="20"/>
    <x v="20"/>
    <s v="vishnu.nair82@gmail.com"/>
    <x v="1"/>
    <d v="2026-02-01T00:00:00"/>
    <x v="1"/>
    <x v="19"/>
    <n v="-162"/>
    <x v="0"/>
    <s v=" Hi Vishnu Nair,your Quarterly  membership expires on 01 May 2026 . Please renew soon! "/>
    <m/>
    <m/>
  </r>
  <r>
    <n v="22"/>
    <x v="21"/>
    <x v="21"/>
    <s v="athira.pillai29@gmail.com"/>
    <x v="1"/>
    <d v="2026-02-28T00:00:00"/>
    <x v="1"/>
    <x v="20"/>
    <n v="-135"/>
    <x v="0"/>
    <s v=" Hi Athira Pillai,your Quarterly  membership expires on 28 May 2026 . Please renew soon! "/>
    <m/>
    <m/>
  </r>
  <r>
    <n v="23"/>
    <x v="22"/>
    <x v="22"/>
    <s v="arun.varghese74@gmail.com"/>
    <x v="2"/>
    <d v="2026-07-02T00:00:00"/>
    <x v="2"/>
    <x v="21"/>
    <n v="84"/>
    <x v="1"/>
    <s v=" Hi Arun Varghese,your Half-Yearly  membership expires on 02 Jan 2027 . Please renew soon! "/>
    <m/>
    <m/>
  </r>
  <r>
    <n v="24"/>
    <x v="23"/>
    <x v="23"/>
    <s v="neethu.mathew57@gmail.com"/>
    <x v="3"/>
    <d v="2026-02-09T00:00:00"/>
    <x v="3"/>
    <x v="22"/>
    <n v="122"/>
    <x v="1"/>
    <s v=" Hi Neethu Mathew,your Annual membership expires on 09 Feb 2027 . Please renew soon! "/>
    <m/>
    <m/>
  </r>
  <r>
    <n v="25"/>
    <x v="24"/>
    <x v="24"/>
    <s v="sreejith.kurup16@gmail.com"/>
    <x v="0"/>
    <d v="2026-10-01T00:00:00"/>
    <x v="0"/>
    <x v="11"/>
    <n v="22"/>
    <x v="1"/>
    <s v=" Hi Sreejith Kurup,your Monthly  membership expires on 01 Nov 2026 . Please renew soon! "/>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11F00E-5907-47B3-8E25-195BE202BC7C}"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6">
    <pivotField showAll="0"/>
    <pivotField showAll="0"/>
    <pivotField showAll="0">
      <items count="26">
        <item x="14"/>
        <item x="19"/>
        <item x="0"/>
        <item x="22"/>
        <item x="21"/>
        <item x="17"/>
        <item x="5"/>
        <item x="11"/>
        <item x="2"/>
        <item x="1"/>
        <item x="16"/>
        <item x="3"/>
        <item x="10"/>
        <item x="23"/>
        <item x="13"/>
        <item x="7"/>
        <item x="8"/>
        <item x="18"/>
        <item x="4"/>
        <item x="15"/>
        <item x="9"/>
        <item x="24"/>
        <item x="12"/>
        <item x="6"/>
        <item x="20"/>
        <item t="default"/>
      </items>
    </pivotField>
    <pivotField showAll="0"/>
    <pivotField showAll="0"/>
    <pivotField numFmtId="14" showAll="0"/>
    <pivotField dataField="1" showAll="0"/>
    <pivotField numFmtId="14" showAll="0">
      <items count="24">
        <item x="8"/>
        <item x="6"/>
        <item x="19"/>
        <item x="14"/>
        <item x="20"/>
        <item x="2"/>
        <item x="4"/>
        <item x="15"/>
        <item x="9"/>
        <item x="18"/>
        <item x="7"/>
        <item x="12"/>
        <item x="3"/>
        <item x="1"/>
        <item x="0"/>
        <item x="11"/>
        <item x="17"/>
        <item x="10"/>
        <item x="21"/>
        <item x="5"/>
        <item x="22"/>
        <item x="13"/>
        <item x="16"/>
        <item t="default"/>
      </items>
    </pivotField>
    <pivotField numFmtId="2" showAll="0"/>
    <pivotField axis="axisRow" showAll="0">
      <items count="3">
        <item x="1"/>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5"/>
    <field x="14"/>
    <field x="13"/>
    <field x="9"/>
  </rowFields>
  <rowItems count="9">
    <i>
      <x v="1"/>
    </i>
    <i r="1">
      <x v="1"/>
    </i>
    <i r="1">
      <x v="2"/>
    </i>
    <i r="1">
      <x v="3"/>
    </i>
    <i r="1">
      <x v="4"/>
    </i>
    <i>
      <x v="2"/>
    </i>
    <i r="1">
      <x v="1"/>
    </i>
    <i r="1">
      <x v="2"/>
    </i>
    <i t="grand">
      <x/>
    </i>
  </rowItems>
  <colItems count="1">
    <i/>
  </colItems>
  <dataFields count="1">
    <dataField name="Sum of PLAN DURATION (MONTH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D079B5-81F1-4506-B324-822C0ECA7955}"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1:K27" firstHeaderRow="1" firstDataRow="2" firstDataCol="1"/>
  <pivotFields count="16">
    <pivotField showAll="0"/>
    <pivotField dataField="1" showAll="0"/>
    <pivotField showAll="0"/>
    <pivotField showAll="0"/>
    <pivotField axis="axisRow" showAll="0">
      <items count="5">
        <item x="3"/>
        <item x="2"/>
        <item x="0"/>
        <item x="1"/>
        <item t="default"/>
      </items>
    </pivotField>
    <pivotField numFmtId="14" showAll="0"/>
    <pivotField showAll="0"/>
    <pivotField numFmtId="14" showAll="0">
      <items count="24">
        <item x="8"/>
        <item x="6"/>
        <item x="19"/>
        <item x="14"/>
        <item x="20"/>
        <item x="2"/>
        <item x="4"/>
        <item x="15"/>
        <item x="9"/>
        <item x="18"/>
        <item x="7"/>
        <item x="12"/>
        <item x="3"/>
        <item x="1"/>
        <item x="0"/>
        <item x="11"/>
        <item x="17"/>
        <item x="10"/>
        <item x="21"/>
        <item x="5"/>
        <item x="22"/>
        <item x="13"/>
        <item x="16"/>
        <item t="default"/>
      </items>
    </pivotField>
    <pivotField numFmtId="2" showAll="0"/>
    <pivotField axis="axisCol" showAll="0">
      <items count="3">
        <item x="1"/>
        <item x="0"/>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Fields count="1">
    <field x="9"/>
  </colFields>
  <colItems count="3">
    <i>
      <x/>
    </i>
    <i>
      <x v="1"/>
    </i>
    <i t="grand">
      <x/>
    </i>
  </colItems>
  <dataFields count="1">
    <dataField name="Count of MEMBER ID" fld="1" subtotal="count" baseField="4" baseItem="0"/>
  </dataFields>
  <chartFormats count="4">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11" format="4" series="1">
      <pivotArea type="data" outline="0" fieldPosition="0">
        <references count="2">
          <reference field="4294967294" count="1" selected="0">
            <x v="0"/>
          </reference>
          <reference field="9" count="1" selected="0">
            <x v="0"/>
          </reference>
        </references>
      </pivotArea>
    </chartFormat>
    <chartFormat chart="11"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AB0DA-EDD5-461D-BE3D-A46AAB05C5F4}"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30" firstHeaderRow="1" firstDataRow="1" firstDataCol="1"/>
  <pivotFields count="16">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26">
        <item x="14"/>
        <item x="19"/>
        <item x="0"/>
        <item x="22"/>
        <item x="21"/>
        <item x="17"/>
        <item x="5"/>
        <item x="11"/>
        <item x="2"/>
        <item x="1"/>
        <item x="16"/>
        <item x="3"/>
        <item x="10"/>
        <item x="23"/>
        <item x="13"/>
        <item x="7"/>
        <item x="8"/>
        <item x="18"/>
        <item x="4"/>
        <item x="15"/>
        <item x="9"/>
        <item x="24"/>
        <item x="12"/>
        <item x="6"/>
        <item x="20"/>
        <item t="default"/>
      </items>
    </pivotField>
    <pivotField showAll="0"/>
    <pivotField axis="axisRow" showAll="0">
      <items count="5">
        <item x="3"/>
        <item h="1" x="2"/>
        <item h="1" x="0"/>
        <item h="1" x="1"/>
        <item t="default"/>
      </items>
    </pivotField>
    <pivotField numFmtId="14" showAll="0"/>
    <pivotField showAll="0"/>
    <pivotField numFmtId="14" showAll="0">
      <items count="24">
        <item x="8"/>
        <item x="6"/>
        <item x="19"/>
        <item x="14"/>
        <item x="20"/>
        <item x="2"/>
        <item x="4"/>
        <item x="15"/>
        <item x="9"/>
        <item x="18"/>
        <item x="7"/>
        <item x="12"/>
        <item x="3"/>
        <item x="1"/>
        <item x="0"/>
        <item x="11"/>
        <item x="17"/>
        <item x="10"/>
        <item x="21"/>
        <item x="5"/>
        <item x="22"/>
        <item x="13"/>
        <item x="16"/>
        <item t="default"/>
      </items>
    </pivotField>
    <pivotField numFmtId="2" showAll="0"/>
    <pivotField axis="axisRow" showAll="0">
      <items count="3">
        <item x="1"/>
        <item h="1" x="0"/>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3">
    <field x="2"/>
    <field x="9"/>
    <field x="4"/>
  </rowFields>
  <rowItems count="13">
    <i>
      <x/>
    </i>
    <i r="1">
      <x/>
    </i>
    <i r="2">
      <x/>
    </i>
    <i>
      <x v="5"/>
    </i>
    <i r="1">
      <x/>
    </i>
    <i r="2">
      <x/>
    </i>
    <i>
      <x v="6"/>
    </i>
    <i r="1">
      <x/>
    </i>
    <i r="2">
      <x/>
    </i>
    <i>
      <x v="13"/>
    </i>
    <i r="1">
      <x/>
    </i>
    <i r="2">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FCC73F-7D61-45DD-87C9-2BEBF86152E6}"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K17" firstHeaderRow="1" firstDataRow="2" firstDataCol="1"/>
  <pivotFields count="16">
    <pivotField showAll="0"/>
    <pivotField dataField="1" showAll="0"/>
    <pivotField showAll="0">
      <items count="26">
        <item x="14"/>
        <item x="19"/>
        <item x="0"/>
        <item x="22"/>
        <item x="21"/>
        <item x="17"/>
        <item x="5"/>
        <item x="11"/>
        <item x="2"/>
        <item x="1"/>
        <item x="16"/>
        <item x="3"/>
        <item x="10"/>
        <item x="23"/>
        <item x="13"/>
        <item x="7"/>
        <item x="8"/>
        <item x="18"/>
        <item x="4"/>
        <item x="15"/>
        <item x="9"/>
        <item x="24"/>
        <item x="12"/>
        <item x="6"/>
        <item x="20"/>
        <item t="default"/>
      </items>
    </pivotField>
    <pivotField showAll="0"/>
    <pivotField showAll="0"/>
    <pivotField numFmtId="14" showAll="0"/>
    <pivotField showAll="0">
      <items count="5">
        <item x="0"/>
        <item x="1"/>
        <item x="2"/>
        <item x="3"/>
        <item t="default"/>
      </items>
    </pivotField>
    <pivotField axis="axisRow" numFmtId="14" showAll="0">
      <items count="24">
        <item x="8"/>
        <item x="6"/>
        <item x="19"/>
        <item x="14"/>
        <item x="20"/>
        <item x="2"/>
        <item x="4"/>
        <item x="15"/>
        <item x="9"/>
        <item x="18"/>
        <item x="7"/>
        <item x="12"/>
        <item x="3"/>
        <item x="1"/>
        <item x="0"/>
        <item x="11"/>
        <item x="17"/>
        <item x="10"/>
        <item x="21"/>
        <item x="5"/>
        <item x="22"/>
        <item x="13"/>
        <item x="16"/>
        <item t="default"/>
      </items>
    </pivotField>
    <pivotField numFmtId="2" showAll="0"/>
    <pivotField axis="axisCol" showAll="0">
      <items count="3">
        <item x="1"/>
        <item x="0"/>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x="1"/>
        <item x="2"/>
        <item sd="0" x="3"/>
      </items>
    </pivotField>
  </pivotFields>
  <rowFields count="2">
    <field x="13"/>
    <field x="7"/>
  </rowFields>
  <rowItems count="13">
    <i>
      <x v="1"/>
    </i>
    <i>
      <x v="2"/>
    </i>
    <i>
      <x v="3"/>
    </i>
    <i>
      <x v="4"/>
    </i>
    <i>
      <x v="5"/>
    </i>
    <i>
      <x v="6"/>
    </i>
    <i>
      <x v="7"/>
    </i>
    <i>
      <x v="8"/>
    </i>
    <i>
      <x v="9"/>
    </i>
    <i>
      <x v="10"/>
    </i>
    <i>
      <x v="11"/>
    </i>
    <i>
      <x v="12"/>
    </i>
    <i t="grand">
      <x/>
    </i>
  </rowItems>
  <colFields count="1">
    <field x="9"/>
  </colFields>
  <colItems count="3">
    <i>
      <x/>
    </i>
    <i>
      <x v="1"/>
    </i>
    <i t="grand">
      <x/>
    </i>
  </colItems>
  <dataFields count="1">
    <dataField name="Count of MEMBER ID" fld="1" subtotal="count" baseField="15" baseItem="1"/>
  </dataFields>
  <chartFormats count="2">
    <chartFormat chart="9" format="4" series="1">
      <pivotArea type="data" outline="0" fieldPosition="0">
        <references count="2">
          <reference field="4294967294" count="1" selected="0">
            <x v="0"/>
          </reference>
          <reference field="9" count="1" selected="0">
            <x v="0"/>
          </reference>
        </references>
      </pivotArea>
    </chartFormat>
    <chartFormat chart="9"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4B173-5CA8-4FE9-9CEE-71EC3B69457F}"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29" firstHeaderRow="1" firstDataRow="1" firstDataCol="1"/>
  <pivotFields count="16">
    <pivotField showAll="0"/>
    <pivotField showAll="0"/>
    <pivotField axis="axisRow" showAll="0">
      <items count="26">
        <item x="14"/>
        <item x="19"/>
        <item x="0"/>
        <item x="22"/>
        <item x="21"/>
        <item x="17"/>
        <item x="5"/>
        <item x="11"/>
        <item x="2"/>
        <item x="1"/>
        <item x="16"/>
        <item x="3"/>
        <item x="10"/>
        <item x="23"/>
        <item x="13"/>
        <item x="7"/>
        <item x="8"/>
        <item x="18"/>
        <item x="4"/>
        <item x="15"/>
        <item x="9"/>
        <item x="24"/>
        <item x="12"/>
        <item x="6"/>
        <item x="20"/>
        <item t="default"/>
      </items>
    </pivotField>
    <pivotField showAll="0"/>
    <pivotField showAll="0"/>
    <pivotField numFmtId="14" showAll="0"/>
    <pivotField dataField="1" showAll="0"/>
    <pivotField numFmtId="14" showAll="0">
      <items count="24">
        <item x="8"/>
        <item x="6"/>
        <item x="19"/>
        <item x="14"/>
        <item x="20"/>
        <item x="2"/>
        <item x="4"/>
        <item x="15"/>
        <item x="9"/>
        <item x="18"/>
        <item x="7"/>
        <item x="12"/>
        <item x="3"/>
        <item x="1"/>
        <item x="0"/>
        <item x="11"/>
        <item x="17"/>
        <item x="10"/>
        <item x="21"/>
        <item x="5"/>
        <item x="22"/>
        <item x="13"/>
        <item x="16"/>
        <item t="default"/>
      </items>
    </pivotField>
    <pivotField numFmtId="2"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LAN DURATION (MONTHS)" fld="6" baseField="0" baseItem="0"/>
  </dataFields>
  <chartFormats count="26">
    <chartFormat chart="6" format="27" series="1">
      <pivotArea type="data" outline="0" fieldPosition="0">
        <references count="1">
          <reference field="4294967294" count="1" selected="0">
            <x v="0"/>
          </reference>
        </references>
      </pivotArea>
    </chartFormat>
    <chartFormat chart="6" format="28">
      <pivotArea type="data" outline="0" fieldPosition="0">
        <references count="2">
          <reference field="4294967294" count="1" selected="0">
            <x v="0"/>
          </reference>
          <reference field="2" count="1" selected="0">
            <x v="0"/>
          </reference>
        </references>
      </pivotArea>
    </chartFormat>
    <chartFormat chart="6" format="29">
      <pivotArea type="data" outline="0" fieldPosition="0">
        <references count="2">
          <reference field="4294967294" count="1" selected="0">
            <x v="0"/>
          </reference>
          <reference field="2" count="1" selected="0">
            <x v="1"/>
          </reference>
        </references>
      </pivotArea>
    </chartFormat>
    <chartFormat chart="6" format="30">
      <pivotArea type="data" outline="0" fieldPosition="0">
        <references count="2">
          <reference field="4294967294" count="1" selected="0">
            <x v="0"/>
          </reference>
          <reference field="2" count="1" selected="0">
            <x v="2"/>
          </reference>
        </references>
      </pivotArea>
    </chartFormat>
    <chartFormat chart="6" format="31">
      <pivotArea type="data" outline="0" fieldPosition="0">
        <references count="2">
          <reference field="4294967294" count="1" selected="0">
            <x v="0"/>
          </reference>
          <reference field="2" count="1" selected="0">
            <x v="3"/>
          </reference>
        </references>
      </pivotArea>
    </chartFormat>
    <chartFormat chart="6" format="32">
      <pivotArea type="data" outline="0" fieldPosition="0">
        <references count="2">
          <reference field="4294967294" count="1" selected="0">
            <x v="0"/>
          </reference>
          <reference field="2" count="1" selected="0">
            <x v="4"/>
          </reference>
        </references>
      </pivotArea>
    </chartFormat>
    <chartFormat chart="6" format="33">
      <pivotArea type="data" outline="0" fieldPosition="0">
        <references count="2">
          <reference field="4294967294" count="1" selected="0">
            <x v="0"/>
          </reference>
          <reference field="2" count="1" selected="0">
            <x v="5"/>
          </reference>
        </references>
      </pivotArea>
    </chartFormat>
    <chartFormat chart="6" format="34">
      <pivotArea type="data" outline="0" fieldPosition="0">
        <references count="2">
          <reference field="4294967294" count="1" selected="0">
            <x v="0"/>
          </reference>
          <reference field="2" count="1" selected="0">
            <x v="6"/>
          </reference>
        </references>
      </pivotArea>
    </chartFormat>
    <chartFormat chart="6" format="35">
      <pivotArea type="data" outline="0" fieldPosition="0">
        <references count="2">
          <reference field="4294967294" count="1" selected="0">
            <x v="0"/>
          </reference>
          <reference field="2" count="1" selected="0">
            <x v="7"/>
          </reference>
        </references>
      </pivotArea>
    </chartFormat>
    <chartFormat chart="6" format="36">
      <pivotArea type="data" outline="0" fieldPosition="0">
        <references count="2">
          <reference field="4294967294" count="1" selected="0">
            <x v="0"/>
          </reference>
          <reference field="2" count="1" selected="0">
            <x v="8"/>
          </reference>
        </references>
      </pivotArea>
    </chartFormat>
    <chartFormat chart="6" format="37">
      <pivotArea type="data" outline="0" fieldPosition="0">
        <references count="2">
          <reference field="4294967294" count="1" selected="0">
            <x v="0"/>
          </reference>
          <reference field="2" count="1" selected="0">
            <x v="9"/>
          </reference>
        </references>
      </pivotArea>
    </chartFormat>
    <chartFormat chart="6" format="38">
      <pivotArea type="data" outline="0" fieldPosition="0">
        <references count="2">
          <reference field="4294967294" count="1" selected="0">
            <x v="0"/>
          </reference>
          <reference field="2" count="1" selected="0">
            <x v="10"/>
          </reference>
        </references>
      </pivotArea>
    </chartFormat>
    <chartFormat chart="6" format="39">
      <pivotArea type="data" outline="0" fieldPosition="0">
        <references count="2">
          <reference field="4294967294" count="1" selected="0">
            <x v="0"/>
          </reference>
          <reference field="2" count="1" selected="0">
            <x v="11"/>
          </reference>
        </references>
      </pivotArea>
    </chartFormat>
    <chartFormat chart="6" format="40">
      <pivotArea type="data" outline="0" fieldPosition="0">
        <references count="2">
          <reference field="4294967294" count="1" selected="0">
            <x v="0"/>
          </reference>
          <reference field="2" count="1" selected="0">
            <x v="12"/>
          </reference>
        </references>
      </pivotArea>
    </chartFormat>
    <chartFormat chart="6" format="41">
      <pivotArea type="data" outline="0" fieldPosition="0">
        <references count="2">
          <reference field="4294967294" count="1" selected="0">
            <x v="0"/>
          </reference>
          <reference field="2" count="1" selected="0">
            <x v="13"/>
          </reference>
        </references>
      </pivotArea>
    </chartFormat>
    <chartFormat chart="6" format="42">
      <pivotArea type="data" outline="0" fieldPosition="0">
        <references count="2">
          <reference field="4294967294" count="1" selected="0">
            <x v="0"/>
          </reference>
          <reference field="2" count="1" selected="0">
            <x v="14"/>
          </reference>
        </references>
      </pivotArea>
    </chartFormat>
    <chartFormat chart="6" format="43">
      <pivotArea type="data" outline="0" fieldPosition="0">
        <references count="2">
          <reference field="4294967294" count="1" selected="0">
            <x v="0"/>
          </reference>
          <reference field="2" count="1" selected="0">
            <x v="15"/>
          </reference>
        </references>
      </pivotArea>
    </chartFormat>
    <chartFormat chart="6" format="44">
      <pivotArea type="data" outline="0" fieldPosition="0">
        <references count="2">
          <reference field="4294967294" count="1" selected="0">
            <x v="0"/>
          </reference>
          <reference field="2" count="1" selected="0">
            <x v="16"/>
          </reference>
        </references>
      </pivotArea>
    </chartFormat>
    <chartFormat chart="6" format="45">
      <pivotArea type="data" outline="0" fieldPosition="0">
        <references count="2">
          <reference field="4294967294" count="1" selected="0">
            <x v="0"/>
          </reference>
          <reference field="2" count="1" selected="0">
            <x v="17"/>
          </reference>
        </references>
      </pivotArea>
    </chartFormat>
    <chartFormat chart="6" format="46">
      <pivotArea type="data" outline="0" fieldPosition="0">
        <references count="2">
          <reference field="4294967294" count="1" selected="0">
            <x v="0"/>
          </reference>
          <reference field="2" count="1" selected="0">
            <x v="18"/>
          </reference>
        </references>
      </pivotArea>
    </chartFormat>
    <chartFormat chart="6" format="47">
      <pivotArea type="data" outline="0" fieldPosition="0">
        <references count="2">
          <reference field="4294967294" count="1" selected="0">
            <x v="0"/>
          </reference>
          <reference field="2" count="1" selected="0">
            <x v="19"/>
          </reference>
        </references>
      </pivotArea>
    </chartFormat>
    <chartFormat chart="6" format="48">
      <pivotArea type="data" outline="0" fieldPosition="0">
        <references count="2">
          <reference field="4294967294" count="1" selected="0">
            <x v="0"/>
          </reference>
          <reference field="2" count="1" selected="0">
            <x v="20"/>
          </reference>
        </references>
      </pivotArea>
    </chartFormat>
    <chartFormat chart="6" format="49">
      <pivotArea type="data" outline="0" fieldPosition="0">
        <references count="2">
          <reference field="4294967294" count="1" selected="0">
            <x v="0"/>
          </reference>
          <reference field="2" count="1" selected="0">
            <x v="21"/>
          </reference>
        </references>
      </pivotArea>
    </chartFormat>
    <chartFormat chart="6" format="50">
      <pivotArea type="data" outline="0" fieldPosition="0">
        <references count="2">
          <reference field="4294967294" count="1" selected="0">
            <x v="0"/>
          </reference>
          <reference field="2" count="1" selected="0">
            <x v="22"/>
          </reference>
        </references>
      </pivotArea>
    </chartFormat>
    <chartFormat chart="6" format="51">
      <pivotArea type="data" outline="0" fieldPosition="0">
        <references count="2">
          <reference field="4294967294" count="1" selected="0">
            <x v="0"/>
          </reference>
          <reference field="2" count="1" selected="0">
            <x v="23"/>
          </reference>
        </references>
      </pivotArea>
    </chartFormat>
    <chartFormat chart="6" format="52">
      <pivotArea type="data" outline="0" fieldPosition="0">
        <references count="2">
          <reference field="4294967294" count="1" selected="0">
            <x v="0"/>
          </reference>
          <reference field="2"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_ID" xr10:uid="{2A85A3B8-1916-49B8-A0B8-6447E796E216}" sourceName="MEMBER ID">
  <pivotTables>
    <pivotTable tabId="4" name="PivotTable8"/>
  </pivotTables>
  <data>
    <tabular pivotCacheId="2064048641">
      <items count="25">
        <i x="5" s="1"/>
        <i x="14" s="1"/>
        <i x="17" s="1"/>
        <i x="23" s="1"/>
        <i x="0" s="1" nd="1"/>
        <i x="1" s="1" nd="1"/>
        <i x="2" s="1" nd="1"/>
        <i x="3" s="1" nd="1"/>
        <i x="4" s="1" nd="1"/>
        <i x="6" s="1" nd="1"/>
        <i x="7" s="1" nd="1"/>
        <i x="8" s="1" nd="1"/>
        <i x="9" s="1" nd="1"/>
        <i x="10" s="1" nd="1"/>
        <i x="11" s="1" nd="1"/>
        <i x="12" s="1" nd="1"/>
        <i x="13" s="1" nd="1"/>
        <i x="15" s="1" nd="1"/>
        <i x="16" s="1" nd="1"/>
        <i x="18" s="1" nd="1"/>
        <i x="19" s="1" nd="1"/>
        <i x="20" s="1" nd="1"/>
        <i x="21" s="1" nd="1"/>
        <i x="22" s="1" nd="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65FE36E-73EB-4F48-96C4-645716B0254C}" sourceName="STATUS">
  <pivotTables>
    <pivotTable tabId="4" name="PivotTable8"/>
  </pivotTables>
  <data>
    <tabular pivotCacheId="2064048641">
      <items count="2">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DA2404BC-ED3E-46A0-9BFB-76EA3A9D4F7D}" sourceName="PLAN TYPE">
  <pivotTables>
    <pivotTable tabId="4" name="PivotTable8"/>
  </pivotTables>
  <data>
    <tabular pivotCacheId="2064048641">
      <items count="4">
        <i x="3" s="1"/>
        <i x="2"/>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 ID" xr10:uid="{3FC9A6F1-E02C-4543-BF1F-76D9120D2983}" cache="Slicer_MEMBER_ID" caption="MEMBER ID" rowHeight="247650"/>
  <slicer name="STATUS" xr10:uid="{B135F768-8AF9-4AF2-87A0-439FE0C6B0A8}" cache="Slicer_STATUS" caption="STATUS" rowHeight="247650"/>
  <slicer name="PLAN TYPE" xr10:uid="{7469950F-3A4E-4187-8DA9-48A0C4299159}" cache="Slicer_PLAN_TYPE" caption="PLAN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E8C3-E52C-4521-B27E-C98AF7B22935}">
  <dimension ref="A1"/>
  <sheetViews>
    <sheetView tabSelected="1" workbookViewId="0">
      <selection activeCell="V21" sqref="V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91D9-4843-44C7-A7C1-965E8ACCA2D4}">
  <dimension ref="A1:M27"/>
  <sheetViews>
    <sheetView zoomScale="90" zoomScaleNormal="90" workbookViewId="0">
      <selection activeCell="C2" sqref="A2:XFD27"/>
    </sheetView>
  </sheetViews>
  <sheetFormatPr defaultRowHeight="14.4" x14ac:dyDescent="0.3"/>
  <cols>
    <col min="1" max="1" width="5.21875" customWidth="1"/>
    <col min="2" max="2" width="12.109375" customWidth="1"/>
    <col min="3" max="3" width="17.21875" bestFit="1" customWidth="1"/>
    <col min="4" max="4" width="27.6640625" bestFit="1" customWidth="1"/>
    <col min="5" max="5" width="13.77734375" customWidth="1"/>
    <col min="6" max="6" width="14" customWidth="1"/>
    <col min="7" max="7" width="17.88671875" customWidth="1"/>
    <col min="8" max="8" width="17.44140625" customWidth="1"/>
    <col min="9" max="9" width="12.109375" bestFit="1" customWidth="1"/>
    <col min="10" max="10" width="12" bestFit="1" customWidth="1"/>
    <col min="11" max="11" width="82" bestFit="1" customWidth="1"/>
  </cols>
  <sheetData>
    <row r="1" spans="1:13" s="1" customFormat="1" ht="64.8" customHeight="1" x14ac:dyDescent="0.3">
      <c r="A1" s="14" t="s">
        <v>0</v>
      </c>
      <c r="B1" s="14"/>
      <c r="C1" s="14"/>
      <c r="D1" s="14"/>
      <c r="E1" s="14"/>
      <c r="F1" s="14"/>
      <c r="G1" s="14"/>
      <c r="H1" s="14"/>
      <c r="I1" s="14"/>
      <c r="J1" s="14"/>
      <c r="K1" s="14"/>
    </row>
    <row r="2" spans="1:13" s="2" customFormat="1" ht="66.599999999999994" customHeight="1" x14ac:dyDescent="0.3">
      <c r="A2" s="3" t="s">
        <v>66</v>
      </c>
      <c r="B2" s="3" t="s">
        <v>1</v>
      </c>
      <c r="C2" s="3" t="s">
        <v>2</v>
      </c>
      <c r="D2" s="3" t="s">
        <v>11</v>
      </c>
      <c r="E2" s="3" t="s">
        <v>3</v>
      </c>
      <c r="F2" s="3" t="s">
        <v>4</v>
      </c>
      <c r="G2" s="4" t="s">
        <v>5</v>
      </c>
      <c r="H2" s="3" t="s">
        <v>6</v>
      </c>
      <c r="I2" s="3" t="s">
        <v>7</v>
      </c>
      <c r="J2" s="3" t="s">
        <v>8</v>
      </c>
      <c r="K2" s="3" t="s">
        <v>9</v>
      </c>
      <c r="L2" s="2" t="s">
        <v>10</v>
      </c>
      <c r="M2" s="2" t="s">
        <v>10</v>
      </c>
    </row>
    <row r="3" spans="1:13" x14ac:dyDescent="0.3">
      <c r="A3" s="5">
        <v>1</v>
      </c>
      <c r="B3" s="6">
        <v>1001</v>
      </c>
      <c r="C3" s="6" t="s">
        <v>16</v>
      </c>
      <c r="D3" s="6" t="s">
        <v>41</v>
      </c>
      <c r="E3" s="6" t="s">
        <v>12</v>
      </c>
      <c r="F3" s="7">
        <v>46267</v>
      </c>
      <c r="G3" s="6">
        <v>1</v>
      </c>
      <c r="H3" s="7">
        <f>EDATE(F3,G3)</f>
        <v>46297</v>
      </c>
      <c r="I3" s="13">
        <f ca="1">ABS(H3-TODAY())</f>
        <v>8</v>
      </c>
      <c r="J3" s="6" t="str">
        <f ca="1">IF(TODAY()&gt;H3,"Expired",IF(H3-TODAY()&lt;=7,"Expiring Soon","Active"))</f>
        <v>Expired</v>
      </c>
      <c r="K3" s="8" t="str">
        <f xml:space="preserve">  " Hi "  &amp;  C3 &amp; ",your " &amp; E3  &amp; " membership expires on " &amp; TEXT(H3,"dd mmm yyyy") &amp; " . Please renew soon! "</f>
        <v xml:space="preserve"> Hi Arjun Krishnan,your Monthly  membership expires on 02 Oct 2026 . Please renew soon! </v>
      </c>
    </row>
    <row r="4" spans="1:13" x14ac:dyDescent="0.3">
      <c r="A4" s="5">
        <f>A3+1</f>
        <v>2</v>
      </c>
      <c r="B4" s="6">
        <f>B3+1</f>
        <v>1002</v>
      </c>
      <c r="C4" s="6" t="s">
        <v>17</v>
      </c>
      <c r="D4" s="6" t="s">
        <v>42</v>
      </c>
      <c r="E4" s="6" t="s">
        <v>13</v>
      </c>
      <c r="F4" s="7">
        <v>46176</v>
      </c>
      <c r="G4" s="6">
        <v>3</v>
      </c>
      <c r="H4" s="7">
        <f t="shared" ref="H4:H27" si="0">EDATE(F4,G4)</f>
        <v>46268</v>
      </c>
      <c r="I4" s="13">
        <f t="shared" ref="I4:I27" ca="1" si="1">ABS(H4-TODAY())</f>
        <v>37</v>
      </c>
      <c r="J4" s="6" t="str">
        <f t="shared" ref="J4:J27" ca="1" si="2">IF(TODAY()&gt;H4,"Expired",IF(H4-TODAY()&lt;=7,"Expiring Soon","Active"))</f>
        <v>Expired</v>
      </c>
      <c r="K4" s="8" t="str">
        <f t="shared" ref="K4:K27" si="3" xml:space="preserve">  " Hi "  &amp;  C4 &amp; ",your " &amp; E4  &amp; " membership expires on " &amp; TEXT(H4,"dd mmm yyyy") &amp; " . Please renew soon! "</f>
        <v xml:space="preserve"> Hi Lakshmi Narayanan,your Quarterly  membership expires on 03 Sep 2026 . Please renew soon! </v>
      </c>
    </row>
    <row r="5" spans="1:13" x14ac:dyDescent="0.3">
      <c r="A5" s="5">
        <f t="shared" ref="A5:A27" si="4">A4+1</f>
        <v>3</v>
      </c>
      <c r="B5" s="6">
        <f t="shared" ref="B5:B27" si="5">B4+1</f>
        <v>1003</v>
      </c>
      <c r="C5" s="6" t="s">
        <v>18</v>
      </c>
      <c r="D5" s="6" t="s">
        <v>43</v>
      </c>
      <c r="E5" s="6" t="s">
        <v>12</v>
      </c>
      <c r="F5" s="7">
        <v>46167</v>
      </c>
      <c r="G5" s="6">
        <v>1</v>
      </c>
      <c r="H5" s="7">
        <f t="shared" si="0"/>
        <v>46198</v>
      </c>
      <c r="I5" s="13">
        <f t="shared" ca="1" si="1"/>
        <v>107</v>
      </c>
      <c r="J5" s="6" t="str">
        <f t="shared" ca="1" si="2"/>
        <v>Expired</v>
      </c>
      <c r="K5" s="8" t="str">
        <f t="shared" si="3"/>
        <v xml:space="preserve"> Hi Karthik Subramanian,your Monthly  membership expires on 25 Jun 2026 . Please renew soon! </v>
      </c>
    </row>
    <row r="6" spans="1:13" x14ac:dyDescent="0.3">
      <c r="A6" s="5">
        <f t="shared" si="4"/>
        <v>4</v>
      </c>
      <c r="B6" s="6">
        <f t="shared" si="5"/>
        <v>1004</v>
      </c>
      <c r="C6" s="6" t="s">
        <v>19</v>
      </c>
      <c r="D6" s="6" t="s">
        <v>44</v>
      </c>
      <c r="E6" s="6" t="s">
        <v>13</v>
      </c>
      <c r="F6" s="7">
        <v>46174</v>
      </c>
      <c r="G6" s="6">
        <v>3</v>
      </c>
      <c r="H6" s="7">
        <f t="shared" si="0"/>
        <v>46266</v>
      </c>
      <c r="I6" s="13">
        <f t="shared" ca="1" si="1"/>
        <v>39</v>
      </c>
      <c r="J6" s="6" t="str">
        <f t="shared" ca="1" si="2"/>
        <v>Expired</v>
      </c>
      <c r="K6" s="8" t="str">
        <f t="shared" si="3"/>
        <v xml:space="preserve"> Hi Meenakshi Sundaram,your Quarterly  membership expires on 01 Sep 2026 . Please renew soon! </v>
      </c>
    </row>
    <row r="7" spans="1:13" x14ac:dyDescent="0.3">
      <c r="A7" s="5">
        <f t="shared" si="4"/>
        <v>5</v>
      </c>
      <c r="B7" s="6">
        <f t="shared" si="5"/>
        <v>1005</v>
      </c>
      <c r="C7" s="6" t="s">
        <v>20</v>
      </c>
      <c r="D7" s="6" t="s">
        <v>45</v>
      </c>
      <c r="E7" s="6" t="s">
        <v>14</v>
      </c>
      <c r="F7" s="7">
        <v>46023</v>
      </c>
      <c r="G7" s="6">
        <v>6</v>
      </c>
      <c r="H7" s="7">
        <f t="shared" si="0"/>
        <v>46204</v>
      </c>
      <c r="I7" s="13">
        <f t="shared" ca="1" si="1"/>
        <v>101</v>
      </c>
      <c r="J7" s="6" t="str">
        <f t="shared" ca="1" si="2"/>
        <v>Expired</v>
      </c>
      <c r="K7" s="8" t="str">
        <f t="shared" si="3"/>
        <v xml:space="preserve"> Hi Senthil Kumar,your Half-Yearly  membership expires on 01 Jul 2026 . Please renew soon! </v>
      </c>
    </row>
    <row r="8" spans="1:13" x14ac:dyDescent="0.3">
      <c r="A8" s="5">
        <f t="shared" si="4"/>
        <v>6</v>
      </c>
      <c r="B8" s="6">
        <f t="shared" si="5"/>
        <v>1006</v>
      </c>
      <c r="C8" s="6" t="s">
        <v>21</v>
      </c>
      <c r="D8" s="6" t="s">
        <v>46</v>
      </c>
      <c r="E8" s="6" t="s">
        <v>15</v>
      </c>
      <c r="F8" s="7">
        <v>46044</v>
      </c>
      <c r="G8" s="6">
        <v>12</v>
      </c>
      <c r="H8" s="7">
        <f t="shared" si="0"/>
        <v>46409</v>
      </c>
      <c r="I8" s="13">
        <f t="shared" ca="1" si="1"/>
        <v>104</v>
      </c>
      <c r="J8" s="6" t="str">
        <f t="shared" ca="1" si="2"/>
        <v>Active</v>
      </c>
      <c r="K8" s="8" t="str">
        <f t="shared" si="3"/>
        <v xml:space="preserve"> Hi Divya Rajendran,your Annual membership expires on 22 Jan 2027 . Please renew soon! </v>
      </c>
    </row>
    <row r="9" spans="1:13" x14ac:dyDescent="0.3">
      <c r="A9" s="5">
        <f t="shared" si="4"/>
        <v>7</v>
      </c>
      <c r="B9" s="6">
        <f t="shared" si="5"/>
        <v>1007</v>
      </c>
      <c r="C9" s="6" t="s">
        <v>22</v>
      </c>
      <c r="D9" s="6" t="s">
        <v>47</v>
      </c>
      <c r="E9" s="6" t="s">
        <v>13</v>
      </c>
      <c r="F9" s="7">
        <v>46023</v>
      </c>
      <c r="G9" s="6">
        <v>3</v>
      </c>
      <c r="H9" s="7">
        <f t="shared" si="0"/>
        <v>46113</v>
      </c>
      <c r="I9" s="13">
        <f t="shared" ca="1" si="1"/>
        <v>192</v>
      </c>
      <c r="J9" s="6" t="str">
        <f t="shared" ca="1" si="2"/>
        <v>Expired</v>
      </c>
      <c r="K9" s="8" t="str">
        <f t="shared" si="3"/>
        <v xml:space="preserve"> Hi Venkatesh Iyer,your Quarterly  membership expires on 01 Apr 2026 . Please renew soon! </v>
      </c>
    </row>
    <row r="10" spans="1:13" x14ac:dyDescent="0.3">
      <c r="A10" s="5">
        <f t="shared" si="4"/>
        <v>8</v>
      </c>
      <c r="B10" s="6">
        <f t="shared" si="5"/>
        <v>1008</v>
      </c>
      <c r="C10" s="6" t="s">
        <v>23</v>
      </c>
      <c r="D10" s="6" t="s">
        <v>48</v>
      </c>
      <c r="E10" s="6" t="s">
        <v>13</v>
      </c>
      <c r="F10" s="7">
        <v>46167</v>
      </c>
      <c r="G10" s="6">
        <v>3</v>
      </c>
      <c r="H10" s="7">
        <f t="shared" si="0"/>
        <v>46259</v>
      </c>
      <c r="I10" s="13">
        <f t="shared" ca="1" si="1"/>
        <v>46</v>
      </c>
      <c r="J10" s="6" t="str">
        <f t="shared" ca="1" si="2"/>
        <v>Expired</v>
      </c>
      <c r="K10" s="8" t="str">
        <f t="shared" si="3"/>
        <v xml:space="preserve"> Hi Priya Balasubramanian,your Quarterly  membership expires on 25 Aug 2026 . Please renew soon! </v>
      </c>
    </row>
    <row r="11" spans="1:13" x14ac:dyDescent="0.3">
      <c r="A11" s="5">
        <f t="shared" si="4"/>
        <v>9</v>
      </c>
      <c r="B11" s="6">
        <f t="shared" si="5"/>
        <v>1009</v>
      </c>
      <c r="C11" s="6" t="s">
        <v>24</v>
      </c>
      <c r="D11" s="6" t="s">
        <v>49</v>
      </c>
      <c r="E11" s="6" t="s">
        <v>12</v>
      </c>
      <c r="F11" s="7">
        <v>46064</v>
      </c>
      <c r="G11" s="6">
        <v>1</v>
      </c>
      <c r="H11" s="7">
        <f t="shared" si="0"/>
        <v>46092</v>
      </c>
      <c r="I11" s="13">
        <f t="shared" ca="1" si="1"/>
        <v>213</v>
      </c>
      <c r="J11" s="6" t="str">
        <f t="shared" ca="1" si="2"/>
        <v>Expired</v>
      </c>
      <c r="K11" s="8" t="str">
        <f t="shared" si="3"/>
        <v xml:space="preserve"> Hi Ravi Teja Reddy,your Monthly  membership expires on 11 Mar 2026 . Please renew soon! </v>
      </c>
    </row>
    <row r="12" spans="1:13" x14ac:dyDescent="0.3">
      <c r="A12" s="5">
        <f t="shared" si="4"/>
        <v>10</v>
      </c>
      <c r="B12" s="6">
        <f t="shared" si="5"/>
        <v>1010</v>
      </c>
      <c r="C12" s="6" t="s">
        <v>25</v>
      </c>
      <c r="D12" s="6" t="s">
        <v>50</v>
      </c>
      <c r="E12" s="6" t="s">
        <v>13</v>
      </c>
      <c r="F12" s="7">
        <v>46148</v>
      </c>
      <c r="G12" s="6">
        <v>3</v>
      </c>
      <c r="H12" s="7">
        <f t="shared" si="0"/>
        <v>46240</v>
      </c>
      <c r="I12" s="13">
        <f t="shared" ca="1" si="1"/>
        <v>65</v>
      </c>
      <c r="J12" s="6" t="str">
        <f t="shared" ca="1" si="2"/>
        <v>Expired</v>
      </c>
      <c r="K12" s="8" t="str">
        <f t="shared" si="3"/>
        <v xml:space="preserve"> Hi Sravani Chowdary,your Quarterly  membership expires on 06 Aug 2026 . Please renew soon! </v>
      </c>
    </row>
    <row r="13" spans="1:13" x14ac:dyDescent="0.3">
      <c r="A13" s="5">
        <f t="shared" si="4"/>
        <v>11</v>
      </c>
      <c r="B13" s="6">
        <f t="shared" si="5"/>
        <v>1011</v>
      </c>
      <c r="C13" s="6" t="s">
        <v>26</v>
      </c>
      <c r="D13" s="6" t="s">
        <v>51</v>
      </c>
      <c r="E13" s="6" t="s">
        <v>13</v>
      </c>
      <c r="F13" s="7">
        <v>46266</v>
      </c>
      <c r="G13" s="6">
        <v>3</v>
      </c>
      <c r="H13" s="7">
        <f t="shared" si="0"/>
        <v>46357</v>
      </c>
      <c r="I13" s="13">
        <f t="shared" ca="1" si="1"/>
        <v>52</v>
      </c>
      <c r="J13" s="6" t="str">
        <f t="shared" ca="1" si="2"/>
        <v>Active</v>
      </c>
      <c r="K13" s="8" t="str">
        <f t="shared" si="3"/>
        <v xml:space="preserve"> Hi Naga Sai Prasad,your Quarterly  membership expires on 01 Dec 2026 . Please renew soon! </v>
      </c>
    </row>
    <row r="14" spans="1:13" x14ac:dyDescent="0.3">
      <c r="A14" s="5">
        <f t="shared" si="4"/>
        <v>12</v>
      </c>
      <c r="B14" s="6">
        <f t="shared" si="5"/>
        <v>1012</v>
      </c>
      <c r="C14" s="6" t="s">
        <v>27</v>
      </c>
      <c r="D14" s="6" t="s">
        <v>52</v>
      </c>
      <c r="E14" s="6" t="s">
        <v>12</v>
      </c>
      <c r="F14" s="7">
        <v>46296</v>
      </c>
      <c r="G14" s="6">
        <v>1</v>
      </c>
      <c r="H14" s="7">
        <f t="shared" si="0"/>
        <v>46327</v>
      </c>
      <c r="I14" s="13">
        <f t="shared" ca="1" si="1"/>
        <v>22</v>
      </c>
      <c r="J14" s="6" t="str">
        <f t="shared" ca="1" si="2"/>
        <v>Active</v>
      </c>
      <c r="K14" s="8" t="str">
        <f t="shared" si="3"/>
        <v xml:space="preserve"> Hi Harika Varma,your Monthly  membership expires on 01 Nov 2026 . Please renew soon! </v>
      </c>
    </row>
    <row r="15" spans="1:13" x14ac:dyDescent="0.3">
      <c r="A15" s="5">
        <f t="shared" si="4"/>
        <v>13</v>
      </c>
      <c r="B15" s="6">
        <f t="shared" si="5"/>
        <v>1013</v>
      </c>
      <c r="C15" s="6" t="s">
        <v>28</v>
      </c>
      <c r="D15" s="6" t="s">
        <v>53</v>
      </c>
      <c r="E15" s="6" t="s">
        <v>13</v>
      </c>
      <c r="F15" s="7">
        <v>46168</v>
      </c>
      <c r="G15" s="6">
        <v>3</v>
      </c>
      <c r="H15" s="7">
        <f t="shared" si="0"/>
        <v>46260</v>
      </c>
      <c r="I15" s="13">
        <f t="shared" ca="1" si="1"/>
        <v>45</v>
      </c>
      <c r="J15" s="6" t="str">
        <f t="shared" ca="1" si="2"/>
        <v>Expired</v>
      </c>
      <c r="K15" s="8" t="str">
        <f t="shared" si="3"/>
        <v xml:space="preserve"> Hi Srinivas Rao,your Quarterly  membership expires on 26 Aug 2026 . Please renew soon! </v>
      </c>
    </row>
    <row r="16" spans="1:13" x14ac:dyDescent="0.3">
      <c r="A16" s="5">
        <f t="shared" si="4"/>
        <v>14</v>
      </c>
      <c r="B16" s="6">
        <f t="shared" si="5"/>
        <v>1014</v>
      </c>
      <c r="C16" s="6" t="s">
        <v>29</v>
      </c>
      <c r="D16" s="6" t="s">
        <v>54</v>
      </c>
      <c r="E16" s="6" t="s">
        <v>14</v>
      </c>
      <c r="F16" s="7">
        <v>46225</v>
      </c>
      <c r="G16" s="6">
        <v>6</v>
      </c>
      <c r="H16" s="7">
        <f t="shared" si="0"/>
        <v>46409</v>
      </c>
      <c r="I16" s="13">
        <f t="shared" ca="1" si="1"/>
        <v>104</v>
      </c>
      <c r="J16" s="6" t="str">
        <f t="shared" ca="1" si="2"/>
        <v>Active</v>
      </c>
      <c r="K16" s="8" t="str">
        <f t="shared" si="3"/>
        <v xml:space="preserve"> Hi Pavan Kalyan Naidu,your Half-Yearly  membership expires on 22 Jan 2027 . Please renew soon! </v>
      </c>
    </row>
    <row r="17" spans="1:11" x14ac:dyDescent="0.3">
      <c r="A17" s="5">
        <f t="shared" si="4"/>
        <v>15</v>
      </c>
      <c r="B17" s="6">
        <f t="shared" si="5"/>
        <v>1015</v>
      </c>
      <c r="C17" s="6" t="s">
        <v>30</v>
      </c>
      <c r="D17" s="6" t="s">
        <v>55</v>
      </c>
      <c r="E17" s="6" t="s">
        <v>15</v>
      </c>
      <c r="F17" s="7">
        <v>46084</v>
      </c>
      <c r="G17" s="6">
        <v>12</v>
      </c>
      <c r="H17" s="7">
        <f t="shared" si="0"/>
        <v>46449</v>
      </c>
      <c r="I17" s="13">
        <f t="shared" ca="1" si="1"/>
        <v>144</v>
      </c>
      <c r="J17" s="6" t="str">
        <f t="shared" ca="1" si="2"/>
        <v>Active</v>
      </c>
      <c r="K17" s="8" t="str">
        <f t="shared" si="3"/>
        <v xml:space="preserve"> Hi Anil Gowda,your Annual membership expires on 03 Mar 2027 . Please renew soon! </v>
      </c>
    </row>
    <row r="18" spans="1:11" x14ac:dyDescent="0.3">
      <c r="A18" s="5">
        <f t="shared" si="4"/>
        <v>16</v>
      </c>
      <c r="B18" s="6">
        <f t="shared" si="5"/>
        <v>1016</v>
      </c>
      <c r="C18" s="6" t="s">
        <v>31</v>
      </c>
      <c r="D18" s="6" t="s">
        <v>56</v>
      </c>
      <c r="E18" s="6" t="s">
        <v>13</v>
      </c>
      <c r="F18" s="7">
        <v>46057</v>
      </c>
      <c r="G18" s="6">
        <v>3</v>
      </c>
      <c r="H18" s="7">
        <f t="shared" si="0"/>
        <v>46146</v>
      </c>
      <c r="I18" s="13">
        <f t="shared" ca="1" si="1"/>
        <v>159</v>
      </c>
      <c r="J18" s="6" t="str">
        <f t="shared" ca="1" si="2"/>
        <v>Expired</v>
      </c>
      <c r="K18" s="8" t="str">
        <f t="shared" si="3"/>
        <v xml:space="preserve"> Hi Shruthi Hegde,your Quarterly  membership expires on 04 May 2026 . Please renew soon! </v>
      </c>
    </row>
    <row r="19" spans="1:11" x14ac:dyDescent="0.3">
      <c r="A19" s="5">
        <f t="shared" si="4"/>
        <v>17</v>
      </c>
      <c r="B19" s="6">
        <f t="shared" si="5"/>
        <v>1017</v>
      </c>
      <c r="C19" s="6" t="s">
        <v>32</v>
      </c>
      <c r="D19" s="6" t="s">
        <v>57</v>
      </c>
      <c r="E19" s="6" t="s">
        <v>14</v>
      </c>
      <c r="F19" s="7">
        <v>46028</v>
      </c>
      <c r="G19" s="6">
        <v>6</v>
      </c>
      <c r="H19" s="7">
        <f t="shared" si="0"/>
        <v>46209</v>
      </c>
      <c r="I19" s="13">
        <f t="shared" ca="1" si="1"/>
        <v>96</v>
      </c>
      <c r="J19" s="6" t="str">
        <f t="shared" ca="1" si="2"/>
        <v>Expired</v>
      </c>
      <c r="K19" s="8" t="str">
        <f t="shared" si="3"/>
        <v xml:space="preserve"> Hi Manjunath Shetty,your Half-Yearly  membership expires on 06 Jul 2026 . Please renew soon! </v>
      </c>
    </row>
    <row r="20" spans="1:11" x14ac:dyDescent="0.3">
      <c r="A20" s="5">
        <f t="shared" si="4"/>
        <v>18</v>
      </c>
      <c r="B20" s="6">
        <f t="shared" si="5"/>
        <v>1018</v>
      </c>
      <c r="C20" s="6" t="s">
        <v>33</v>
      </c>
      <c r="D20" s="6" t="s">
        <v>58</v>
      </c>
      <c r="E20" s="6" t="s">
        <v>15</v>
      </c>
      <c r="F20" s="7">
        <v>46175</v>
      </c>
      <c r="G20" s="6">
        <v>12</v>
      </c>
      <c r="H20" s="7">
        <f t="shared" si="0"/>
        <v>46540</v>
      </c>
      <c r="I20" s="13">
        <f t="shared" ca="1" si="1"/>
        <v>235</v>
      </c>
      <c r="J20" s="6" t="str">
        <f t="shared" ca="1" si="2"/>
        <v>Active</v>
      </c>
      <c r="K20" s="8" t="str">
        <f t="shared" si="3"/>
        <v xml:space="preserve"> Hi Deepa Bhat,your Annual membership expires on 02 Jun 2027 . Please renew soon! </v>
      </c>
    </row>
    <row r="21" spans="1:11" x14ac:dyDescent="0.3">
      <c r="A21" s="5">
        <f t="shared" si="4"/>
        <v>19</v>
      </c>
      <c r="B21" s="6">
        <f t="shared" si="5"/>
        <v>1019</v>
      </c>
      <c r="C21" s="6" t="s">
        <v>34</v>
      </c>
      <c r="D21" s="6" t="s">
        <v>59</v>
      </c>
      <c r="E21" s="6" t="s">
        <v>13</v>
      </c>
      <c r="F21" s="7">
        <v>46236</v>
      </c>
      <c r="G21" s="6">
        <v>3</v>
      </c>
      <c r="H21" s="7">
        <f t="shared" si="0"/>
        <v>46328</v>
      </c>
      <c r="I21" s="13">
        <f t="shared" ca="1" si="1"/>
        <v>23</v>
      </c>
      <c r="J21" s="6" t="str">
        <f t="shared" ca="1" si="2"/>
        <v>Active</v>
      </c>
      <c r="K21" s="8" t="str">
        <f t="shared" si="3"/>
        <v xml:space="preserve"> Hi Rohith Naik,your Quarterly  membership expires on 02 Nov 2026 . Please renew soon! </v>
      </c>
    </row>
    <row r="22" spans="1:11" x14ac:dyDescent="0.3">
      <c r="A22" s="5">
        <f t="shared" si="4"/>
        <v>20</v>
      </c>
      <c r="B22" s="6">
        <f t="shared" si="5"/>
        <v>1020</v>
      </c>
      <c r="C22" s="6" t="s">
        <v>35</v>
      </c>
      <c r="D22" s="6" t="s">
        <v>60</v>
      </c>
      <c r="E22" s="6" t="s">
        <v>13</v>
      </c>
      <c r="F22" s="7">
        <v>46151</v>
      </c>
      <c r="G22" s="6">
        <v>3</v>
      </c>
      <c r="H22" s="7">
        <f t="shared" si="0"/>
        <v>46243</v>
      </c>
      <c r="I22" s="13">
        <f t="shared" ca="1" si="1"/>
        <v>62</v>
      </c>
      <c r="J22" s="6" t="str">
        <f t="shared" ca="1" si="2"/>
        <v>Expired</v>
      </c>
      <c r="K22" s="8" t="str">
        <f t="shared" si="3"/>
        <v xml:space="preserve"> Hi Anjali Menon,your Quarterly  membership expires on 09 Aug 2026 . Please renew soon! </v>
      </c>
    </row>
    <row r="23" spans="1:11" x14ac:dyDescent="0.3">
      <c r="A23" s="5">
        <f t="shared" si="4"/>
        <v>21</v>
      </c>
      <c r="B23" s="6">
        <f t="shared" si="5"/>
        <v>1021</v>
      </c>
      <c r="C23" s="6" t="s">
        <v>36</v>
      </c>
      <c r="D23" s="6" t="s">
        <v>61</v>
      </c>
      <c r="E23" s="6" t="s">
        <v>13</v>
      </c>
      <c r="F23" s="7">
        <v>46054</v>
      </c>
      <c r="G23" s="6">
        <v>3</v>
      </c>
      <c r="H23" s="7">
        <f t="shared" si="0"/>
        <v>46143</v>
      </c>
      <c r="I23" s="13">
        <f t="shared" ca="1" si="1"/>
        <v>162</v>
      </c>
      <c r="J23" s="6" t="str">
        <f t="shared" ca="1" si="2"/>
        <v>Expired</v>
      </c>
      <c r="K23" s="8" t="str">
        <f t="shared" si="3"/>
        <v xml:space="preserve"> Hi Vishnu Nair,your Quarterly  membership expires on 01 May 2026 . Please renew soon! </v>
      </c>
    </row>
    <row r="24" spans="1:11" x14ac:dyDescent="0.3">
      <c r="A24" s="5">
        <f t="shared" si="4"/>
        <v>22</v>
      </c>
      <c r="B24" s="6">
        <f t="shared" si="5"/>
        <v>1022</v>
      </c>
      <c r="C24" s="6" t="s">
        <v>37</v>
      </c>
      <c r="D24" s="6" t="s">
        <v>62</v>
      </c>
      <c r="E24" s="6" t="s">
        <v>13</v>
      </c>
      <c r="F24" s="7">
        <v>46081</v>
      </c>
      <c r="G24" s="6">
        <v>3</v>
      </c>
      <c r="H24" s="7">
        <f t="shared" si="0"/>
        <v>46170</v>
      </c>
      <c r="I24" s="13">
        <f t="shared" ca="1" si="1"/>
        <v>135</v>
      </c>
      <c r="J24" s="6" t="str">
        <f t="shared" ca="1" si="2"/>
        <v>Expired</v>
      </c>
      <c r="K24" s="8" t="str">
        <f t="shared" si="3"/>
        <v xml:space="preserve"> Hi Athira Pillai,your Quarterly  membership expires on 28 May 2026 . Please renew soon! </v>
      </c>
    </row>
    <row r="25" spans="1:11" x14ac:dyDescent="0.3">
      <c r="A25" s="5">
        <f t="shared" si="4"/>
        <v>23</v>
      </c>
      <c r="B25" s="6">
        <f t="shared" si="5"/>
        <v>1023</v>
      </c>
      <c r="C25" s="6" t="s">
        <v>38</v>
      </c>
      <c r="D25" s="6" t="s">
        <v>63</v>
      </c>
      <c r="E25" s="6" t="s">
        <v>14</v>
      </c>
      <c r="F25" s="7">
        <v>46205</v>
      </c>
      <c r="G25" s="6">
        <v>6</v>
      </c>
      <c r="H25" s="7">
        <f t="shared" si="0"/>
        <v>46389</v>
      </c>
      <c r="I25" s="13">
        <f t="shared" ca="1" si="1"/>
        <v>84</v>
      </c>
      <c r="J25" s="6" t="str">
        <f t="shared" ca="1" si="2"/>
        <v>Active</v>
      </c>
      <c r="K25" s="8" t="str">
        <f t="shared" si="3"/>
        <v xml:space="preserve"> Hi Arun Varghese,your Half-Yearly  membership expires on 02 Jan 2027 . Please renew soon! </v>
      </c>
    </row>
    <row r="26" spans="1:11" x14ac:dyDescent="0.3">
      <c r="A26" s="5">
        <f t="shared" si="4"/>
        <v>24</v>
      </c>
      <c r="B26" s="6">
        <f t="shared" si="5"/>
        <v>1024</v>
      </c>
      <c r="C26" s="6" t="s">
        <v>39</v>
      </c>
      <c r="D26" s="6" t="s">
        <v>64</v>
      </c>
      <c r="E26" s="6" t="s">
        <v>15</v>
      </c>
      <c r="F26" s="7">
        <v>46062</v>
      </c>
      <c r="G26" s="6">
        <v>12</v>
      </c>
      <c r="H26" s="7">
        <f t="shared" si="0"/>
        <v>46427</v>
      </c>
      <c r="I26" s="13">
        <f t="shared" ca="1" si="1"/>
        <v>122</v>
      </c>
      <c r="J26" s="6" t="str">
        <f t="shared" ca="1" si="2"/>
        <v>Active</v>
      </c>
      <c r="K26" s="8" t="str">
        <f t="shared" si="3"/>
        <v xml:space="preserve"> Hi Neethu Mathew,your Annual membership expires on 09 Feb 2027 . Please renew soon! </v>
      </c>
    </row>
    <row r="27" spans="1:11" x14ac:dyDescent="0.3">
      <c r="A27" s="5">
        <f t="shared" si="4"/>
        <v>25</v>
      </c>
      <c r="B27" s="6">
        <f t="shared" si="5"/>
        <v>1025</v>
      </c>
      <c r="C27" s="6" t="s">
        <v>40</v>
      </c>
      <c r="D27" s="6" t="s">
        <v>65</v>
      </c>
      <c r="E27" s="6" t="s">
        <v>12</v>
      </c>
      <c r="F27" s="7">
        <v>46296</v>
      </c>
      <c r="G27" s="6">
        <v>1</v>
      </c>
      <c r="H27" s="7">
        <f t="shared" si="0"/>
        <v>46327</v>
      </c>
      <c r="I27" s="13">
        <f t="shared" ca="1" si="1"/>
        <v>22</v>
      </c>
      <c r="J27" s="6" t="str">
        <f t="shared" ca="1" si="2"/>
        <v>Active</v>
      </c>
      <c r="K27" s="8" t="str">
        <f t="shared" si="3"/>
        <v xml:space="preserve"> Hi Sreejith Kurup,your Monthly  membership expires on 01 Nov 2026 . Please renew soon! </v>
      </c>
    </row>
  </sheetData>
  <mergeCells count="1">
    <mergeCell ref="A1:K1"/>
  </mergeCells>
  <pageMargins left="0.7" right="0.7" top="0.75" bottom="0.75" header="0.3" footer="0.3"/>
  <pageSetup paperSize="9" orientation="portrait" r:id="rId1"/>
  <ignoredErrors>
    <ignoredError sqref="H3"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327B-C26A-43FD-9324-68603A21B3C8}">
  <dimension ref="A3:K30"/>
  <sheetViews>
    <sheetView topLeftCell="B1" workbookViewId="0">
      <selection activeCell="I27" sqref="I27"/>
    </sheetView>
  </sheetViews>
  <sheetFormatPr defaultRowHeight="14.4" x14ac:dyDescent="0.3"/>
  <cols>
    <col min="1" max="1" width="16.109375" bestFit="1" customWidth="1"/>
    <col min="2" max="2" width="30.21875" bestFit="1" customWidth="1"/>
    <col min="5" max="5" width="19.6640625" bestFit="1" customWidth="1"/>
    <col min="6" max="6" width="30.21875" bestFit="1" customWidth="1"/>
    <col min="8" max="8" width="17.5546875" bestFit="1" customWidth="1"/>
    <col min="9" max="9" width="15.5546875" bestFit="1" customWidth="1"/>
    <col min="10" max="10" width="7.33203125" bestFit="1" customWidth="1"/>
    <col min="11" max="11" width="10.5546875" bestFit="1" customWidth="1"/>
  </cols>
  <sheetData>
    <row r="3" spans="1:11" x14ac:dyDescent="0.3">
      <c r="A3" s="9" t="s">
        <v>67</v>
      </c>
      <c r="B3" t="s">
        <v>69</v>
      </c>
      <c r="E3" s="9" t="s">
        <v>67</v>
      </c>
      <c r="F3" t="s">
        <v>69</v>
      </c>
      <c r="H3" s="9" t="s">
        <v>79</v>
      </c>
      <c r="I3" s="9" t="s">
        <v>78</v>
      </c>
    </row>
    <row r="4" spans="1:11" x14ac:dyDescent="0.3">
      <c r="A4" s="10" t="s">
        <v>72</v>
      </c>
      <c r="B4">
        <v>53</v>
      </c>
      <c r="E4" s="10" t="s">
        <v>30</v>
      </c>
      <c r="F4">
        <v>12</v>
      </c>
      <c r="H4" s="9" t="s">
        <v>67</v>
      </c>
      <c r="I4" t="s">
        <v>70</v>
      </c>
      <c r="J4" t="s">
        <v>71</v>
      </c>
      <c r="K4" t="s">
        <v>68</v>
      </c>
    </row>
    <row r="5" spans="1:11" x14ac:dyDescent="0.3">
      <c r="A5" s="11" t="s">
        <v>74</v>
      </c>
      <c r="B5">
        <v>1</v>
      </c>
      <c r="E5" s="10" t="s">
        <v>35</v>
      </c>
      <c r="F5">
        <v>3</v>
      </c>
      <c r="H5" s="10" t="s">
        <v>90</v>
      </c>
      <c r="I5">
        <v>3</v>
      </c>
      <c r="K5">
        <v>3</v>
      </c>
    </row>
    <row r="6" spans="1:11" x14ac:dyDescent="0.3">
      <c r="A6" s="11" t="s">
        <v>75</v>
      </c>
      <c r="B6">
        <v>13</v>
      </c>
      <c r="E6" s="10" t="s">
        <v>16</v>
      </c>
      <c r="F6">
        <v>1</v>
      </c>
      <c r="H6" s="10" t="s">
        <v>91</v>
      </c>
      <c r="I6">
        <v>1</v>
      </c>
      <c r="K6">
        <v>1</v>
      </c>
    </row>
    <row r="7" spans="1:11" x14ac:dyDescent="0.3">
      <c r="A7" s="11" t="s">
        <v>76</v>
      </c>
      <c r="B7">
        <v>30</v>
      </c>
      <c r="E7" s="10" t="s">
        <v>38</v>
      </c>
      <c r="F7">
        <v>6</v>
      </c>
      <c r="H7" s="10" t="s">
        <v>80</v>
      </c>
      <c r="I7">
        <v>1</v>
      </c>
      <c r="J7">
        <v>1</v>
      </c>
      <c r="K7">
        <v>2</v>
      </c>
    </row>
    <row r="8" spans="1:11" x14ac:dyDescent="0.3">
      <c r="A8" s="11" t="s">
        <v>77</v>
      </c>
      <c r="B8">
        <v>9</v>
      </c>
      <c r="E8" s="10" t="s">
        <v>37</v>
      </c>
      <c r="F8">
        <v>3</v>
      </c>
      <c r="H8" s="10" t="s">
        <v>81</v>
      </c>
      <c r="J8">
        <v>1</v>
      </c>
      <c r="K8">
        <v>1</v>
      </c>
    </row>
    <row r="9" spans="1:11" x14ac:dyDescent="0.3">
      <c r="A9" s="10" t="s">
        <v>73</v>
      </c>
      <c r="B9">
        <v>60</v>
      </c>
      <c r="E9" s="10" t="s">
        <v>33</v>
      </c>
      <c r="F9">
        <v>12</v>
      </c>
      <c r="H9" s="10" t="s">
        <v>82</v>
      </c>
      <c r="J9">
        <v>3</v>
      </c>
      <c r="K9">
        <v>3</v>
      </c>
    </row>
    <row r="10" spans="1:11" x14ac:dyDescent="0.3">
      <c r="A10" s="11" t="s">
        <v>74</v>
      </c>
      <c r="B10">
        <v>48</v>
      </c>
      <c r="E10" s="10" t="s">
        <v>21</v>
      </c>
      <c r="F10">
        <v>12</v>
      </c>
      <c r="H10" s="10" t="s">
        <v>83</v>
      </c>
      <c r="I10">
        <v>1</v>
      </c>
      <c r="J10">
        <v>1</v>
      </c>
      <c r="K10">
        <v>2</v>
      </c>
    </row>
    <row r="11" spans="1:11" x14ac:dyDescent="0.3">
      <c r="A11" s="11" t="s">
        <v>75</v>
      </c>
      <c r="B11">
        <v>12</v>
      </c>
      <c r="E11" s="10" t="s">
        <v>27</v>
      </c>
      <c r="F11">
        <v>1</v>
      </c>
      <c r="H11" s="10" t="s">
        <v>84</v>
      </c>
      <c r="J11">
        <v>2</v>
      </c>
      <c r="K11">
        <v>2</v>
      </c>
    </row>
    <row r="12" spans="1:11" x14ac:dyDescent="0.3">
      <c r="A12" s="10" t="s">
        <v>68</v>
      </c>
      <c r="B12">
        <v>113</v>
      </c>
      <c r="E12" s="10" t="s">
        <v>18</v>
      </c>
      <c r="F12">
        <v>1</v>
      </c>
      <c r="H12" s="10" t="s">
        <v>85</v>
      </c>
      <c r="J12">
        <v>4</v>
      </c>
      <c r="K12">
        <v>4</v>
      </c>
    </row>
    <row r="13" spans="1:11" x14ac:dyDescent="0.3">
      <c r="E13" s="10" t="s">
        <v>17</v>
      </c>
      <c r="F13">
        <v>3</v>
      </c>
      <c r="H13" s="10" t="s">
        <v>86</v>
      </c>
      <c r="J13">
        <v>2</v>
      </c>
      <c r="K13">
        <v>2</v>
      </c>
    </row>
    <row r="14" spans="1:11" x14ac:dyDescent="0.3">
      <c r="E14" s="10" t="s">
        <v>32</v>
      </c>
      <c r="F14">
        <v>6</v>
      </c>
      <c r="H14" s="10" t="s">
        <v>87</v>
      </c>
      <c r="J14">
        <v>1</v>
      </c>
      <c r="K14">
        <v>1</v>
      </c>
    </row>
    <row r="15" spans="1:11" x14ac:dyDescent="0.3">
      <c r="E15" s="10" t="s">
        <v>19</v>
      </c>
      <c r="F15">
        <v>3</v>
      </c>
      <c r="H15" s="10" t="s">
        <v>88</v>
      </c>
      <c r="I15">
        <v>3</v>
      </c>
      <c r="K15">
        <v>3</v>
      </c>
    </row>
    <row r="16" spans="1:11" x14ac:dyDescent="0.3">
      <c r="E16" s="10" t="s">
        <v>26</v>
      </c>
      <c r="F16">
        <v>3</v>
      </c>
      <c r="H16" s="10" t="s">
        <v>89</v>
      </c>
      <c r="I16">
        <v>1</v>
      </c>
      <c r="K16">
        <v>1</v>
      </c>
    </row>
    <row r="17" spans="1:11" x14ac:dyDescent="0.3">
      <c r="A17" s="9" t="s">
        <v>67</v>
      </c>
      <c r="E17" s="10" t="s">
        <v>39</v>
      </c>
      <c r="F17">
        <v>12</v>
      </c>
      <c r="H17" s="10" t="s">
        <v>68</v>
      </c>
      <c r="I17">
        <v>10</v>
      </c>
      <c r="J17">
        <v>15</v>
      </c>
      <c r="K17">
        <v>25</v>
      </c>
    </row>
    <row r="18" spans="1:11" x14ac:dyDescent="0.3">
      <c r="A18" s="10" t="s">
        <v>30</v>
      </c>
      <c r="E18" s="10" t="s">
        <v>29</v>
      </c>
      <c r="F18">
        <v>6</v>
      </c>
    </row>
    <row r="19" spans="1:11" x14ac:dyDescent="0.3">
      <c r="A19" s="11" t="s">
        <v>70</v>
      </c>
      <c r="E19" s="10" t="s">
        <v>23</v>
      </c>
      <c r="F19">
        <v>3</v>
      </c>
    </row>
    <row r="20" spans="1:11" x14ac:dyDescent="0.3">
      <c r="A20" s="12" t="s">
        <v>15</v>
      </c>
      <c r="E20" s="10" t="s">
        <v>24</v>
      </c>
      <c r="F20">
        <v>1</v>
      </c>
    </row>
    <row r="21" spans="1:11" x14ac:dyDescent="0.3">
      <c r="A21" s="10" t="s">
        <v>33</v>
      </c>
      <c r="E21" s="10" t="s">
        <v>34</v>
      </c>
      <c r="F21">
        <v>3</v>
      </c>
      <c r="H21" s="9" t="s">
        <v>79</v>
      </c>
      <c r="I21" s="9" t="s">
        <v>78</v>
      </c>
    </row>
    <row r="22" spans="1:11" x14ac:dyDescent="0.3">
      <c r="A22" s="11" t="s">
        <v>70</v>
      </c>
      <c r="E22" s="10" t="s">
        <v>20</v>
      </c>
      <c r="F22">
        <v>6</v>
      </c>
      <c r="H22" s="9" t="s">
        <v>67</v>
      </c>
      <c r="I22" t="s">
        <v>70</v>
      </c>
      <c r="J22" t="s">
        <v>71</v>
      </c>
      <c r="K22" t="s">
        <v>68</v>
      </c>
    </row>
    <row r="23" spans="1:11" x14ac:dyDescent="0.3">
      <c r="A23" s="12" t="s">
        <v>15</v>
      </c>
      <c r="E23" s="10" t="s">
        <v>31</v>
      </c>
      <c r="F23">
        <v>3</v>
      </c>
      <c r="H23" s="10" t="s">
        <v>15</v>
      </c>
      <c r="I23">
        <v>4</v>
      </c>
      <c r="K23">
        <v>4</v>
      </c>
    </row>
    <row r="24" spans="1:11" x14ac:dyDescent="0.3">
      <c r="A24" s="10" t="s">
        <v>21</v>
      </c>
      <c r="E24" s="10" t="s">
        <v>25</v>
      </c>
      <c r="F24">
        <v>3</v>
      </c>
      <c r="H24" s="10" t="s">
        <v>14</v>
      </c>
      <c r="I24">
        <v>2</v>
      </c>
      <c r="J24">
        <v>2</v>
      </c>
      <c r="K24">
        <v>4</v>
      </c>
    </row>
    <row r="25" spans="1:11" x14ac:dyDescent="0.3">
      <c r="A25" s="11" t="s">
        <v>70</v>
      </c>
      <c r="E25" s="10" t="s">
        <v>40</v>
      </c>
      <c r="F25">
        <v>1</v>
      </c>
      <c r="H25" s="10" t="s">
        <v>12</v>
      </c>
      <c r="I25">
        <v>2</v>
      </c>
      <c r="J25">
        <v>3</v>
      </c>
      <c r="K25">
        <v>5</v>
      </c>
    </row>
    <row r="26" spans="1:11" x14ac:dyDescent="0.3">
      <c r="A26" s="12" t="s">
        <v>15</v>
      </c>
      <c r="E26" s="10" t="s">
        <v>28</v>
      </c>
      <c r="F26">
        <v>3</v>
      </c>
      <c r="H26" s="10" t="s">
        <v>13</v>
      </c>
      <c r="I26">
        <v>2</v>
      </c>
      <c r="J26">
        <v>10</v>
      </c>
      <c r="K26">
        <v>12</v>
      </c>
    </row>
    <row r="27" spans="1:11" x14ac:dyDescent="0.3">
      <c r="A27" s="10" t="s">
        <v>39</v>
      </c>
      <c r="E27" s="10" t="s">
        <v>22</v>
      </c>
      <c r="F27">
        <v>3</v>
      </c>
      <c r="H27" s="10" t="s">
        <v>68</v>
      </c>
      <c r="I27">
        <v>10</v>
      </c>
      <c r="J27">
        <v>15</v>
      </c>
      <c r="K27">
        <v>25</v>
      </c>
    </row>
    <row r="28" spans="1:11" x14ac:dyDescent="0.3">
      <c r="A28" s="11" t="s">
        <v>70</v>
      </c>
      <c r="E28" s="10" t="s">
        <v>36</v>
      </c>
      <c r="F28">
        <v>3</v>
      </c>
    </row>
    <row r="29" spans="1:11" x14ac:dyDescent="0.3">
      <c r="A29" s="12" t="s">
        <v>15</v>
      </c>
      <c r="E29" s="10" t="s">
        <v>68</v>
      </c>
      <c r="F29">
        <v>113</v>
      </c>
    </row>
    <row r="30" spans="1:11" x14ac:dyDescent="0.3">
      <c r="A30" s="10"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MEMBER DETAIL</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Deena Rajendran</dc:creator>
  <cp:lastModifiedBy>Deena Rajendran</cp:lastModifiedBy>
  <dcterms:created xsi:type="dcterms:W3CDTF">2026-10-09T15:45:01Z</dcterms:created>
  <dcterms:modified xsi:type="dcterms:W3CDTF">2026-10-10T11:37:57Z</dcterms:modified>
</cp:coreProperties>
</file>